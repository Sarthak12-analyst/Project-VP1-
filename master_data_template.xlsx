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ownloads\Project\"/>
    </mc:Choice>
  </mc:AlternateContent>
  <xr:revisionPtr revIDLastSave="0" documentId="13_ncr:1_{038EA091-9399-4BE0-9F4F-B09867EC2B26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Papers Master List" sheetId="1" r:id="rId1"/>
    <sheet name="Data_raw" sheetId="2" r:id="rId2"/>
    <sheet name="Data Diction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1" l="1"/>
  <c r="M1" i="1"/>
</calcChain>
</file>

<file path=xl/sharedStrings.xml><?xml version="1.0" encoding="utf-8"?>
<sst xmlns="http://schemas.openxmlformats.org/spreadsheetml/2006/main" count="362" uniqueCount="210">
  <si>
    <t>paper_id</t>
  </si>
  <si>
    <t>title</t>
  </si>
  <si>
    <t>authors</t>
  </si>
  <si>
    <t>year</t>
  </si>
  <si>
    <t>journal</t>
  </si>
  <si>
    <t>DOI</t>
  </si>
  <si>
    <t>pollutant(s)_studied</t>
  </si>
  <si>
    <t>included (Y/N)</t>
  </si>
  <si>
    <t>exclusion_reason</t>
  </si>
  <si>
    <t>pdf_filename</t>
  </si>
  <si>
    <t>Papers included:</t>
  </si>
  <si>
    <t>P001</t>
  </si>
  <si>
    <t>Y</t>
  </si>
  <si>
    <t>Papers excluded:</t>
  </si>
  <si>
    <t>Legend: fill every row for a paper you screened. 'included' Y/N is a dropdown; if N, give a one-line exclusion_reason. pdf_filename must match the file you save in the references/ folder, named &lt;paper_id&gt;_&lt;FirstAuthorYear&gt;.pdf</t>
  </si>
  <si>
    <t>pollutant</t>
  </si>
  <si>
    <t>AC_precursor</t>
  </si>
  <si>
    <t>BET_m2g</t>
  </si>
  <si>
    <t>pore_vol_cm3g</t>
  </si>
  <si>
    <t>pH_pzc</t>
  </si>
  <si>
    <t>C_pct</t>
  </si>
  <si>
    <t>H_pct</t>
  </si>
  <si>
    <t>O_pct</t>
  </si>
  <si>
    <t>N_pct</t>
  </si>
  <si>
    <t>C0_mgL</t>
  </si>
  <si>
    <t>pH</t>
  </si>
  <si>
    <t>dose_gL</t>
  </si>
  <si>
    <t>contact_time_min</t>
  </si>
  <si>
    <t>temp_K</t>
  </si>
  <si>
    <t>Ce_mgL</t>
  </si>
  <si>
    <t>qe_mgg</t>
  </si>
  <si>
    <t>data_source</t>
  </si>
  <si>
    <t>notes</t>
  </si>
  <si>
    <t>Legend: one row = one experimental condition-set from one paper. paper_id must match Tab 1 exactly. Ce_mgL is for Langmuir/Freundlich fitting only — never feed it into the ML feature set. data_source records whether qe came from a tabulated value, a digitized graph (WebPlotDigitizer), in-text mention, or your own mass-balance calculation.</t>
  </si>
  <si>
    <t>column_name</t>
  </si>
  <si>
    <t>tab</t>
  </si>
  <si>
    <t>unit</t>
  </si>
  <si>
    <t>description</t>
  </si>
  <si>
    <t>source_notes</t>
  </si>
  <si>
    <t>Papers Master List / Data</t>
  </si>
  <si>
    <t>-</t>
  </si>
  <si>
    <t>Unique ID linking a data row to its source paper</t>
  </si>
  <si>
    <t>Assign sequentially: P001, P002, ...</t>
  </si>
  <si>
    <t>Papers Master List</t>
  </si>
  <si>
    <t>Paper title</t>
  </si>
  <si>
    <t>Author list, semicolon-separated</t>
  </si>
  <si>
    <t>Publication year</t>
  </si>
  <si>
    <t>Journal name</t>
  </si>
  <si>
    <t>Digital Object Identifier</t>
  </si>
  <si>
    <t>Which of Pb/Cd/MB/Congo Red this paper covers</t>
  </si>
  <si>
    <t>Whether data was extracted from this paper</t>
  </si>
  <si>
    <t>Dropdown</t>
  </si>
  <si>
    <t>One-line reason if excluded</t>
  </si>
  <si>
    <t>e.g., 'no BET reported', 'graph not digitizable'</t>
  </si>
  <si>
    <t>Filename in references/ folder</t>
  </si>
  <si>
    <t>Must match paper_id prefix</t>
  </si>
  <si>
    <t>Data</t>
  </si>
  <si>
    <t>Pb / Cd / MB / Congo Red for this row</t>
  </si>
  <si>
    <t>Raw material / activation method of the AC</t>
  </si>
  <si>
    <t>lowercase, consistent naming</t>
  </si>
  <si>
    <t>m2/g</t>
  </si>
  <si>
    <t>BET specific surface area</t>
  </si>
  <si>
    <t>Core AC property — no imputation if missing</t>
  </si>
  <si>
    <t>cm3/g</t>
  </si>
  <si>
    <t>Total pore volume</t>
  </si>
  <si>
    <t>Point of zero charge</t>
  </si>
  <si>
    <t>C_pct/H_pct/O_pct/N_pct</t>
  </si>
  <si>
    <t>%</t>
  </si>
  <si>
    <t>Elemental composition (CHNS/EDX)</t>
  </si>
  <si>
    <t>Secondary — some leniency if paper is otherwise strong</t>
  </si>
  <si>
    <t>mg/L</t>
  </si>
  <si>
    <t>Initial pollutant concentration</t>
  </si>
  <si>
    <t>Solution pH during experiment</t>
  </si>
  <si>
    <t>g/L</t>
  </si>
  <si>
    <t>Adsorbent dose</t>
  </si>
  <si>
    <t>min</t>
  </si>
  <si>
    <t>Contact/equilibration time</t>
  </si>
  <si>
    <t>K</t>
  </si>
  <si>
    <t>Temperature</t>
  </si>
  <si>
    <t>Convert from °C: K = °C + 273.15</t>
  </si>
  <si>
    <t>Equilibrium concentration</t>
  </si>
  <si>
    <t>Isotherm-fitting only — EXCLUDE from ML features</t>
  </si>
  <si>
    <t>mg/g</t>
  </si>
  <si>
    <t>Equilibrium adsorption capacity (target variable)</t>
  </si>
  <si>
    <t>table / graph / text / calculated</t>
  </si>
  <si>
    <t>Dropdown — flags digitized values for QC</t>
  </si>
  <si>
    <t>Free-text notes (e.g., which series/run this row belongs to)</t>
  </si>
  <si>
    <t>Kinetics, equilibrium, and thermodynamics investigation on the adsorption of lead(II) by coal-based activated carbon</t>
  </si>
  <si>
    <t>Yi, Yao, Zhu, Chen, Wang, Liu</t>
  </si>
  <si>
    <t>SpringerPlus</t>
  </si>
  <si>
    <t>10.1186/s40064-016-2839-4</t>
  </si>
  <si>
    <t>Pb(II)</t>
  </si>
  <si>
    <t>—</t>
  </si>
  <si>
    <t>P001_Yi2016.pdf</t>
  </si>
  <si>
    <t>P002</t>
  </si>
  <si>
    <t>Batch and fixed bed adsorption of Pb(II) from aqueous solution using EDTA modified activated carbon derived from palm kernel shell</t>
  </si>
  <si>
    <t>Pam, Abdullah, Tan, Zainal</t>
  </si>
  <si>
    <t>BioResources</t>
  </si>
  <si>
    <t>10.15376/biores.13.1.1235-1250</t>
  </si>
  <si>
    <t>P002_Pam2018.pdf</t>
  </si>
  <si>
    <t>P003</t>
  </si>
  <si>
    <t>Efficient Adsorption of Lead (II) from Aqueous Phase Solutions Using Polypyrrole-Based Activated Carbon</t>
  </si>
  <si>
    <t>Alghamdi, Al-Odayni, Sharaf Saeed, Al-Kahtani, Alharthi, Aouak</t>
  </si>
  <si>
    <t>Materials (MDPI)</t>
  </si>
  <si>
    <t>10.3390/ma12122020</t>
  </si>
  <si>
    <t>N</t>
  </si>
  <si>
    <t>Full text accessible, but BET surface area/pore volume are not reported in this paper's own text — Table 1 values are cited as "reported elsewhere" in a separate prior publication (ref. 33) and the table itself renders as an image I cannot read numerically. Fails AC-property inclusion criterion.</t>
  </si>
  <si>
    <t>P003_Alghamdi2019.pdf</t>
  </si>
  <si>
    <t>P004</t>
  </si>
  <si>
    <t>Efficacious Sorption Capacities for Pb(II) from Contaminated Water: A Comparative Study Using Biowaste and Its Activated Carbon as Potential Adsorbents</t>
  </si>
  <si>
    <t>Devi, Goswami, Rabha, Kalita, Sarma, Devi</t>
  </si>
  <si>
    <t>ACS Omega</t>
  </si>
  <si>
    <t>10.1021/acsomega.3c00142</t>
  </si>
  <si>
    <t>Full text not accessible — ACS Omega page blocked automated fetch (bot detection); only abstract/snippet-level data available (BET=745.77 m²/g, 99.9% removal at neutral pH), insufficient for condition-set extraction.</t>
  </si>
  <si>
    <t>P004_Devi2023.pdf</t>
  </si>
  <si>
    <t>P005</t>
  </si>
  <si>
    <t>Facile preparation of amine-functionalized corn husk derived activated carbon for effective removal of selected heavy metals from battery recycling wastewater</t>
  </si>
  <si>
    <t>Ismail, Yahya, Auta, Obayomi</t>
  </si>
  <si>
    <t>Heliyon</t>
  </si>
  <si>
    <t>10.1016/j.heliyon.2022.e09516</t>
  </si>
  <si>
    <t>Pb(II), Cu(II), Ni(II)</t>
  </si>
  <si>
    <t>Full text not accessible — both Cell.com/Heliyon and ScienceDirect blocked automated fetch; PMC blocked by CAPTCHA. Only abstract-level data available (BET=92.11/442.70 m²/g; Qmax Pb=2.814 mg/g), no pH/C0/dose/time detail obtainable.</t>
  </si>
  <si>
    <t>P005_Ismail2022.pdf</t>
  </si>
  <si>
    <t>P006</t>
  </si>
  <si>
    <t>P007</t>
  </si>
  <si>
    <t>P008</t>
  </si>
  <si>
    <t>P009</t>
  </si>
  <si>
    <t>P010</t>
  </si>
  <si>
    <t>Equilibrium, Kinetic, and Diffusion Mechanism of lead(II) and cadmium(II) Adsorption onto Commercial Activated Carbons</t>
  </si>
  <si>
    <t>Lach, Okoniewska</t>
  </si>
  <si>
    <t>Molecules</t>
  </si>
  <si>
    <t>10.3390/molecules29112418</t>
  </si>
  <si>
    <t>Pb(II), Cd(II)</t>
  </si>
  <si>
    <t>Full text accessible (MDPI, open access), and pH/dose/time/C0 protocol is clearly stated, but BET surface area, pore volume, and elemental/proximate composition are reported only in Table 11 (rendered as an image in the fetched page, not extractable as text). Fails the AC-property inclusion criterion.</t>
  </si>
  <si>
    <t>P006_LachOkoniewska2024.pdf</t>
  </si>
  <si>
    <t>Adsorption of Pb2+ by Activated Carbon Produced by Microwave-Assisted K2CO3 Activation of Date Palm Leaf Sheath Fibres</t>
  </si>
  <si>
    <t>Aloud, Hameed, Yusop, Alharbi, Giesy, Alotaibi</t>
  </si>
  <si>
    <t>Water (MDPI)</t>
  </si>
  <si>
    <t>10.3390/w15223905</t>
  </si>
  <si>
    <t>P007_Aloud2023.pdf</t>
  </si>
  <si>
    <t>Kinetics and Thermodynamics of Pb(II), Zn(II), and Cd(II) Adsorption from Aqueous Solutions onto Activated Biochar Obtained from Tobacco Waste</t>
  </si>
  <si>
    <t>Jabłońska, Jabłoński, Gęga</t>
  </si>
  <si>
    <t>10.3390/ma18102324</t>
  </si>
  <si>
    <t>Pb(II), Zn(II), Cd(II)</t>
  </si>
  <si>
    <t>Full text accessible; BET (875.38 m²/g), pore volume (0.649 cm³/g), and pHpzc (9.15) are all explicitly reported in text. However, all actual condition-set q_e/removal values (CCD optimization table, kinetics, isotherms) are only presented in tables/figures rendered as images — no numeric per-condition q_e is readable from accessible text. Excluded per "undigitizable graph/table, no axis values readable" rule.</t>
  </si>
  <si>
    <t>P008_Jablonska2025.pdf</t>
  </si>
  <si>
    <t>Enhanced Adsorption of Pb(II) and Cd(II) by Activated Carbon Derived from Peach Stones for Efficient Water Decontamination</t>
  </si>
  <si>
    <t>Cameu, Almeida, Oliveira, Igansi, Jaeschke, Silveira, Paes, Dias, Pinto, Cadaval</t>
  </si>
  <si>
    <t>Processes (MDPI)</t>
  </si>
  <si>
    <t>10.3390/pr13103064</t>
  </si>
  <si>
    <t>Full text accessible; BET surface area (50 m²/g) and average pore size (23 Å) are given, but total pore volume is only discussed comparatively in prose ("lower than...0.49–0.70 cm³/g") without a specific measured value for this AC — the actual Table 1 value is not extractable. Also, the reported max q_e (150 mg/g Pb, 80 mg/g Cd at 45°C) is not tied to a stated C0 in accessible text.</t>
  </si>
  <si>
    <t>P009_Cameu2025.pdf</t>
  </si>
  <si>
    <t>Adsorption of Lead (Pb(II)) from Contaminated Water onto Activated Carbon: Kinetics, Isotherms, Thermodynamics, and Modeling by Artificial Intelligence</t>
  </si>
  <si>
    <t>Abd El-wahaab, El-Shwiniy, Alrowais, Nasef, Said</t>
  </si>
  <si>
    <t>Sustainability (MDPI)</t>
  </si>
  <si>
    <t>10.3390/su17052131</t>
  </si>
  <si>
    <t>P010_AbdElwahaab2025.pdf</t>
  </si>
  <si>
    <t>P011</t>
  </si>
  <si>
    <t>Recycling of Sewage Sludge: Synthesis and Application of Sludge-Based Activated Carbon in the Efficient Removal of Cadmium (II) and Lead (II) from Wastewater</t>
  </si>
  <si>
    <t>Aljubiri, Younes, Alosaimi, Abdel Daiem, Abdel-Salam, El-Shwiniy</t>
  </si>
  <si>
    <t>Int. J. Mol. Sci. (MDPI)</t>
  </si>
  <si>
    <t>10.3390/ijms25189866</t>
  </si>
  <si>
    <t>Cd(II), Pb(II)</t>
  </si>
  <si>
    <t>P011_Aljubiri2024.pdf</t>
  </si>
  <si>
    <t>P012</t>
  </si>
  <si>
    <t>Adsorption of cadmium(II) in wastewater by magnesium oxide modified biochar</t>
  </si>
  <si>
    <t>Xu, Xia, Zhang, Jiang, Cai, Hu</t>
  </si>
  <si>
    <t>Arabian Journal of Chemistry</t>
  </si>
  <si>
    <t>10.1016/j.arabjc.2022.104059</t>
  </si>
  <si>
    <t>Cd(II)</t>
  </si>
  <si>
    <t>Full text accessible; BET/pore data given for a "treated AC" baseline (919.441 m²/g, 0.585 mL/g), but all reported adsorption performance (isotherms, kinetics, C0/pH/dose effects) is for the MgO-doped composite (MgO-AC), not plain activated carbon. The actual adsorbent under test is out of project scope (AC only), and no standalone AC condition-set data are reported.</t>
  </si>
  <si>
    <t>P012_Xu2022.pdf</t>
  </si>
  <si>
    <t>P013</t>
  </si>
  <si>
    <t>Adsorption Kinetics of Cadmium and Lead by Biochars in Single- and Bisolute Brackish Water Systems</t>
  </si>
  <si>
    <t>Rafiq, Wongrod, Vinitnantharat</t>
  </si>
  <si>
    <t>10.1021/acsomega.3c03335</t>
  </si>
  <si>
    <t>Full text not accessible — ACS Publications blocks automated fetch (bot detection); PMC mirror (PMC10702322) blocked by CAPTCHA. Only abstract/citation-level data available (includes a commercial AC comparator with real % removal figures at various salinities, but no BET/pore volume/condition-set numbers extractable).</t>
  </si>
  <si>
    <t>P013_Rafiq2023.pdf</t>
  </si>
  <si>
    <t>P014</t>
  </si>
  <si>
    <t>Adsorption of Cd (II) on Modified Granular Activated Carbons: Isotherm and Column Study</t>
  </si>
  <si>
    <t>Not extracted (full text inaccessible)</t>
  </si>
  <si>
    <t>(PMC6149846)</t>
  </si>
  <si>
    <t>Not extracted</t>
  </si>
  <si>
    <t>Full text not accessible — PMC blocked by CAPTCHA on every attempt. Only abstract-level modeling detail (BET/DA/DFT pore models mentioned) available; no numeric AC-property or condition-set data obtainable.</t>
  </si>
  <si>
    <t>P014_UnknownModifiedGAC.pdf</t>
  </si>
  <si>
    <t>Coal (anthracite)</t>
  </si>
  <si>
    <t>5.0–5.5</t>
  </si>
  <si>
    <t>~10</t>
  </si>
  <si>
    <t>~116–117</t>
  </si>
  <si>
    <t>calculated</t>
  </si>
  <si>
    <t>pH-optimum series; qe back-calculated from reported 92.96–93.62% removal via qe=(C0-Ce)/dose. pH given as optimum range, not single value — low confidence</t>
  </si>
  <si>
    <t>~10.6</t>
  </si>
  <si>
    <t>Temperature-effect series (fixed pH 5.0); qe calculated from 92.96% removal at 298 K</t>
  </si>
  <si>
    <t>~18.2</t>
  </si>
  <si>
    <t>Temperature-effect series; qe calculated from 87.87% removal at 318 K</t>
  </si>
  <si>
    <t>text</t>
  </si>
  <si>
    <t>Isotherm series, C0 tested 50–300 mg/L; this is the paper's reported "practical/experimental" maximum adsorption capacity, but exact C0 corresponding to it is not stated — low confidence, C0 left blank rather than assumed</t>
  </si>
  <si>
    <t>Palm kernel shell (AC-PKS)</t>
  </si>
  <si>
    <t>3.5–4.0 (range only, not distinguished by sample)</t>
  </si>
  <si>
    <t>Initial-concentration series. Dose = 0.35 g in stated 250 mL standard flask volume ? 1.4 g/L (inferred, not restated for this specific series — flagged)</t>
  </si>
  <si>
    <t>3.5–4.0</t>
  </si>
  <si>
    <t>Initial-concentration series, same dose assumption as above</t>
  </si>
  <si>
    <t>Palm kernel shell + EDTA (AC-EDTA)</t>
  </si>
  <si>
    <t>Initial-concentration series. Dose = 0.25 g/250 mL ? 1.0 g/L (inferred)</t>
  </si>
  <si>
    <t>Initial-concentration series, same dose assumption</t>
  </si>
  <si>
    <t>pH-effect series (68.6% removal, internally consistent with qe formula)</t>
  </si>
  <si>
    <t>pH-effect series (69.1% removal, internally consistent)</t>
  </si>
  <si>
    <t>Temperature-effect series at 25°C, "optimal conditions" (pH 4, C0 150 mg/L assumed per methods)</t>
  </si>
  <si>
    <t>Temperature-effect series at 50°C</t>
  </si>
  <si>
    <t>Temperature-effect series at 25°C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</si>
</sst>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0"/>
      <color rgb="FF2F5496"/>
      <name val="Arial"/>
      <charset val="1"/>
    </font>
    <font>
      <i/>
      <sz val="9"/>
      <color rgb="FF808080"/>
      <name val="Arial"/>
      <charset val="1"/>
    </font>
    <font>
      <sz val="10"/>
      <name val="Arial"/>
      <charset val="1"/>
    </font>
    <font>
      <sz val="8"/>
      <name val="Calibri"/>
      <family val="2"/>
      <charset val="1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top" wrapText="1"/>
    </xf>
    <xf numFmtId="0" fontId="0" fillId="0" borderId="0" xfId="0" applyFont="1"/>
    <xf numFmtId="0" fontId="7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0"/>
  <sheetViews>
    <sheetView tabSelected="1" zoomScaleNormal="100" workbookViewId="0">
      <pane ySplit="1" topLeftCell="A15" activePane="bottomLeft" state="frozen"/>
      <selection pane="bottomLeft" activeCell="E24" sqref="E24"/>
    </sheetView>
  </sheetViews>
  <sheetFormatPr defaultColWidth="8.6640625" defaultRowHeight="14.4" x14ac:dyDescent="0.3"/>
  <cols>
    <col min="1" max="1" width="9" customWidth="1"/>
    <col min="2" max="2" width="38" customWidth="1"/>
    <col min="3" max="3" width="22" customWidth="1"/>
    <col min="4" max="4" width="7" customWidth="1"/>
    <col min="5" max="5" width="20" customWidth="1"/>
    <col min="6" max="6" width="24" customWidth="1"/>
    <col min="7" max="7" width="16" customWidth="1"/>
    <col min="8" max="8" width="12" customWidth="1"/>
    <col min="9" max="9" width="20" customWidth="1"/>
    <col min="10" max="10" width="22" customWidth="1"/>
    <col min="12" max="12" width="16.21875" bestFit="1" customWidth="1"/>
  </cols>
  <sheetData>
    <row r="1" spans="1:13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2" t="s">
        <v>10</v>
      </c>
      <c r="M1" s="3">
        <f>COUNTIF(H2:H500,"Y")</f>
        <v>5</v>
      </c>
    </row>
    <row r="2" spans="1:13" ht="43.2" x14ac:dyDescent="0.3">
      <c r="A2" s="5" t="s">
        <v>11</v>
      </c>
      <c r="B2" s="5" t="s">
        <v>87</v>
      </c>
      <c r="C2" s="5" t="s">
        <v>88</v>
      </c>
      <c r="D2" s="5">
        <v>2016</v>
      </c>
      <c r="E2" s="5" t="s">
        <v>89</v>
      </c>
      <c r="F2" s="5" t="s">
        <v>90</v>
      </c>
      <c r="G2" s="5" t="s">
        <v>91</v>
      </c>
      <c r="H2" s="5" t="s">
        <v>12</v>
      </c>
      <c r="I2" s="5" t="s">
        <v>92</v>
      </c>
      <c r="J2" s="5" t="s">
        <v>93</v>
      </c>
      <c r="L2" s="2" t="s">
        <v>13</v>
      </c>
      <c r="M2" s="3">
        <f>COUNTIF(H2:H500,"N")</f>
        <v>9</v>
      </c>
    </row>
    <row r="3" spans="1:13" ht="57.6" x14ac:dyDescent="0.3">
      <c r="A3" s="5" t="s">
        <v>94</v>
      </c>
      <c r="B3" s="5" t="s">
        <v>95</v>
      </c>
      <c r="C3" s="5" t="s">
        <v>96</v>
      </c>
      <c r="D3" s="5">
        <v>2018</v>
      </c>
      <c r="E3" s="5" t="s">
        <v>97</v>
      </c>
      <c r="F3" s="5" t="s">
        <v>98</v>
      </c>
      <c r="G3" s="5" t="s">
        <v>91</v>
      </c>
      <c r="H3" s="5" t="s">
        <v>12</v>
      </c>
      <c r="I3" s="5" t="s">
        <v>92</v>
      </c>
      <c r="J3" s="5" t="s">
        <v>99</v>
      </c>
    </row>
    <row r="4" spans="1:13" ht="216" x14ac:dyDescent="0.3">
      <c r="A4" s="5" t="s">
        <v>100</v>
      </c>
      <c r="B4" s="5" t="s">
        <v>101</v>
      </c>
      <c r="C4" s="5" t="s">
        <v>102</v>
      </c>
      <c r="D4" s="5">
        <v>2019</v>
      </c>
      <c r="E4" s="5" t="s">
        <v>103</v>
      </c>
      <c r="F4" s="5" t="s">
        <v>104</v>
      </c>
      <c r="G4" s="5" t="s">
        <v>91</v>
      </c>
      <c r="H4" s="5" t="s">
        <v>105</v>
      </c>
      <c r="I4" s="5" t="s">
        <v>106</v>
      </c>
      <c r="J4" s="5" t="s">
        <v>107</v>
      </c>
    </row>
    <row r="5" spans="1:13" ht="172.8" x14ac:dyDescent="0.3">
      <c r="A5" s="5" t="s">
        <v>108</v>
      </c>
      <c r="B5" s="5" t="s">
        <v>109</v>
      </c>
      <c r="C5" s="5" t="s">
        <v>110</v>
      </c>
      <c r="D5" s="5">
        <v>2023</v>
      </c>
      <c r="E5" s="5" t="s">
        <v>111</v>
      </c>
      <c r="F5" s="5" t="s">
        <v>112</v>
      </c>
      <c r="G5" s="5" t="s">
        <v>91</v>
      </c>
      <c r="H5" s="5" t="s">
        <v>105</v>
      </c>
      <c r="I5" s="5" t="s">
        <v>113</v>
      </c>
      <c r="J5" s="5" t="s">
        <v>114</v>
      </c>
    </row>
    <row r="6" spans="1:13" ht="187.2" x14ac:dyDescent="0.3">
      <c r="A6" s="5" t="s">
        <v>115</v>
      </c>
      <c r="B6" s="5" t="s">
        <v>116</v>
      </c>
      <c r="C6" s="5" t="s">
        <v>117</v>
      </c>
      <c r="D6" s="5">
        <v>2022</v>
      </c>
      <c r="E6" s="5" t="s">
        <v>118</v>
      </c>
      <c r="F6" s="5" t="s">
        <v>119</v>
      </c>
      <c r="G6" s="5" t="s">
        <v>120</v>
      </c>
      <c r="H6" s="5" t="s">
        <v>105</v>
      </c>
      <c r="I6" s="5" t="s">
        <v>121</v>
      </c>
      <c r="J6" s="5" t="s">
        <v>122</v>
      </c>
    </row>
    <row r="7" spans="1:13" ht="216" x14ac:dyDescent="0.3">
      <c r="A7" s="5" t="s">
        <v>123</v>
      </c>
      <c r="B7" s="5" t="s">
        <v>128</v>
      </c>
      <c r="C7" s="5" t="s">
        <v>129</v>
      </c>
      <c r="D7" s="5">
        <v>2024</v>
      </c>
      <c r="E7" s="5" t="s">
        <v>130</v>
      </c>
      <c r="F7" s="5" t="s">
        <v>131</v>
      </c>
      <c r="G7" s="5" t="s">
        <v>132</v>
      </c>
      <c r="H7" s="5" t="s">
        <v>105</v>
      </c>
      <c r="I7" s="5" t="s">
        <v>133</v>
      </c>
      <c r="J7" s="5" t="s">
        <v>134</v>
      </c>
    </row>
    <row r="8" spans="1:13" ht="43.2" x14ac:dyDescent="0.3">
      <c r="A8" s="5" t="s">
        <v>124</v>
      </c>
      <c r="B8" s="5" t="s">
        <v>135</v>
      </c>
      <c r="C8" s="5" t="s">
        <v>136</v>
      </c>
      <c r="D8" s="5">
        <v>2023</v>
      </c>
      <c r="E8" s="5" t="s">
        <v>137</v>
      </c>
      <c r="F8" s="5" t="s">
        <v>138</v>
      </c>
      <c r="G8" s="5" t="s">
        <v>91</v>
      </c>
      <c r="H8" s="5" t="s">
        <v>12</v>
      </c>
      <c r="I8" s="5" t="s">
        <v>92</v>
      </c>
      <c r="J8" s="5" t="s">
        <v>139</v>
      </c>
    </row>
    <row r="9" spans="1:13" ht="331.2" x14ac:dyDescent="0.3">
      <c r="A9" s="5" t="s">
        <v>125</v>
      </c>
      <c r="B9" s="5" t="s">
        <v>140</v>
      </c>
      <c r="C9" s="5" t="s">
        <v>141</v>
      </c>
      <c r="D9" s="5">
        <v>2025</v>
      </c>
      <c r="E9" s="5" t="s">
        <v>103</v>
      </c>
      <c r="F9" s="5" t="s">
        <v>142</v>
      </c>
      <c r="G9" s="5" t="s">
        <v>143</v>
      </c>
      <c r="H9" s="5" t="s">
        <v>105</v>
      </c>
      <c r="I9" s="5" t="s">
        <v>144</v>
      </c>
      <c r="J9" s="5" t="s">
        <v>145</v>
      </c>
    </row>
    <row r="10" spans="1:13" ht="288" x14ac:dyDescent="0.3">
      <c r="A10" s="5" t="s">
        <v>126</v>
      </c>
      <c r="B10" s="5" t="s">
        <v>146</v>
      </c>
      <c r="C10" s="5" t="s">
        <v>147</v>
      </c>
      <c r="D10" s="5">
        <v>2025</v>
      </c>
      <c r="E10" s="5" t="s">
        <v>148</v>
      </c>
      <c r="F10" s="5" t="s">
        <v>149</v>
      </c>
      <c r="G10" s="5" t="s">
        <v>132</v>
      </c>
      <c r="H10" s="5" t="s">
        <v>105</v>
      </c>
      <c r="I10" s="5" t="s">
        <v>150</v>
      </c>
      <c r="J10" s="5" t="s">
        <v>151</v>
      </c>
    </row>
    <row r="11" spans="1:13" ht="72" x14ac:dyDescent="0.3">
      <c r="A11" s="5" t="s">
        <v>127</v>
      </c>
      <c r="B11" s="5" t="s">
        <v>152</v>
      </c>
      <c r="C11" s="5" t="s">
        <v>153</v>
      </c>
      <c r="D11" s="5">
        <v>2025</v>
      </c>
      <c r="E11" s="5" t="s">
        <v>154</v>
      </c>
      <c r="F11" s="5" t="s">
        <v>155</v>
      </c>
      <c r="G11" s="5" t="s">
        <v>91</v>
      </c>
      <c r="H11" s="5" t="s">
        <v>12</v>
      </c>
      <c r="I11" s="5" t="s">
        <v>92</v>
      </c>
      <c r="J11" s="5" t="s">
        <v>156</v>
      </c>
    </row>
    <row r="12" spans="1:13" ht="57.6" x14ac:dyDescent="0.3">
      <c r="A12" s="5" t="s">
        <v>157</v>
      </c>
      <c r="B12" s="5" t="s">
        <v>158</v>
      </c>
      <c r="C12" s="5" t="s">
        <v>159</v>
      </c>
      <c r="D12" s="5">
        <v>2024</v>
      </c>
      <c r="E12" s="5" t="s">
        <v>160</v>
      </c>
      <c r="F12" s="5" t="s">
        <v>161</v>
      </c>
      <c r="G12" s="5" t="s">
        <v>162</v>
      </c>
      <c r="H12" s="5" t="s">
        <v>12</v>
      </c>
      <c r="I12" s="5" t="s">
        <v>92</v>
      </c>
      <c r="J12" s="5" t="s">
        <v>163</v>
      </c>
    </row>
    <row r="13" spans="1:13" ht="273.60000000000002" x14ac:dyDescent="0.3">
      <c r="A13" s="5" t="s">
        <v>164</v>
      </c>
      <c r="B13" s="5" t="s">
        <v>165</v>
      </c>
      <c r="C13" s="5" t="s">
        <v>166</v>
      </c>
      <c r="D13" s="5">
        <v>2022</v>
      </c>
      <c r="E13" s="5" t="s">
        <v>167</v>
      </c>
      <c r="F13" s="5" t="s">
        <v>168</v>
      </c>
      <c r="G13" s="5" t="s">
        <v>169</v>
      </c>
      <c r="H13" s="5" t="s">
        <v>105</v>
      </c>
      <c r="I13" s="5" t="s">
        <v>170</v>
      </c>
      <c r="J13" s="5" t="s">
        <v>171</v>
      </c>
    </row>
    <row r="14" spans="1:13" ht="230.4" x14ac:dyDescent="0.3">
      <c r="A14" s="5" t="s">
        <v>172</v>
      </c>
      <c r="B14" s="5" t="s">
        <v>173</v>
      </c>
      <c r="C14" s="5" t="s">
        <v>174</v>
      </c>
      <c r="D14" s="5">
        <v>2023</v>
      </c>
      <c r="E14" s="5" t="s">
        <v>111</v>
      </c>
      <c r="F14" s="5" t="s">
        <v>175</v>
      </c>
      <c r="G14" s="5" t="s">
        <v>162</v>
      </c>
      <c r="H14" s="5" t="s">
        <v>105</v>
      </c>
      <c r="I14" s="5" t="s">
        <v>176</v>
      </c>
      <c r="J14" s="5" t="s">
        <v>177</v>
      </c>
    </row>
    <row r="15" spans="1:13" ht="158.4" x14ac:dyDescent="0.3">
      <c r="A15" s="5" t="s">
        <v>178</v>
      </c>
      <c r="B15" s="5" t="s">
        <v>179</v>
      </c>
      <c r="C15" s="5" t="s">
        <v>180</v>
      </c>
      <c r="D15" s="5" t="s">
        <v>92</v>
      </c>
      <c r="E15" s="5" t="s">
        <v>181</v>
      </c>
      <c r="F15" s="5" t="s">
        <v>182</v>
      </c>
      <c r="G15" s="5" t="s">
        <v>169</v>
      </c>
      <c r="H15" s="5" t="s">
        <v>105</v>
      </c>
      <c r="I15" s="5" t="s">
        <v>183</v>
      </c>
      <c r="J15" s="5" t="s">
        <v>184</v>
      </c>
    </row>
    <row r="20" spans="1:10" ht="30" customHeight="1" x14ac:dyDescent="0.3">
      <c r="A20" s="6" t="s">
        <v>14</v>
      </c>
      <c r="B20" s="6"/>
      <c r="C20" s="6"/>
      <c r="D20" s="6"/>
      <c r="E20" s="6"/>
      <c r="F20" s="6"/>
      <c r="G20" s="6"/>
      <c r="H20" s="6"/>
      <c r="I20" s="6"/>
      <c r="J20" s="6"/>
    </row>
  </sheetData>
  <mergeCells count="1">
    <mergeCell ref="A20:J20"/>
  </mergeCells>
  <phoneticPr fontId="6" type="noConversion"/>
  <dataValidations count="2">
    <dataValidation type="list" allowBlank="1" sqref="H16:H500" xr:uid="{00000000-0002-0000-0000-000000000000}">
      <formula1>"Y,N"</formula1>
      <formula2>0</formula2>
    </dataValidation>
    <dataValidation type="list" allowBlank="1" sqref="G16:G500" xr:uid="{00000000-0002-0000-0000-000001000000}">
      <formula1>"Pb,Cd,MB,Congo Red,Pb;Cd,MB;Congo 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5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6640625" defaultRowHeight="14.4" x14ac:dyDescent="0.3"/>
  <cols>
    <col min="1" max="1" width="9" customWidth="1"/>
    <col min="2" max="2" width="10" customWidth="1"/>
    <col min="3" max="3" width="15" customWidth="1"/>
    <col min="4" max="4" width="10" customWidth="1"/>
    <col min="5" max="5" width="12" customWidth="1"/>
    <col min="6" max="6" width="8" customWidth="1"/>
    <col min="7" max="10" width="7" customWidth="1"/>
    <col min="11" max="11" width="9" customWidth="1"/>
    <col min="12" max="12" width="6" customWidth="1"/>
    <col min="13" max="13" width="8" customWidth="1"/>
    <col min="14" max="14" width="12" customWidth="1"/>
    <col min="15" max="15" width="8" customWidth="1"/>
    <col min="16" max="17" width="9" customWidth="1"/>
    <col min="18" max="18" width="11" customWidth="1"/>
    <col min="19" max="19" width="186.109375" bestFit="1" customWidth="1"/>
  </cols>
  <sheetData>
    <row r="1" spans="1:19" ht="30" customHeight="1" x14ac:dyDescent="0.3">
      <c r="A1" s="1" t="s">
        <v>0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31</v>
      </c>
      <c r="S1" s="1" t="s">
        <v>32</v>
      </c>
    </row>
    <row r="2" spans="1:19" s="7" customFormat="1" x14ac:dyDescent="0.3">
      <c r="A2" s="8"/>
      <c r="B2" s="8" t="s">
        <v>91</v>
      </c>
      <c r="C2" s="8" t="s">
        <v>185</v>
      </c>
      <c r="D2" s="8">
        <v>950</v>
      </c>
      <c r="E2" s="8">
        <v>0.8</v>
      </c>
      <c r="F2" s="8"/>
      <c r="G2" s="8"/>
      <c r="H2" s="8"/>
      <c r="I2" s="8"/>
      <c r="J2" s="8"/>
      <c r="K2" s="8">
        <v>150</v>
      </c>
      <c r="L2" s="8" t="s">
        <v>186</v>
      </c>
      <c r="M2" s="8">
        <v>1.2</v>
      </c>
      <c r="N2" s="8">
        <v>60</v>
      </c>
      <c r="O2" s="8">
        <v>298</v>
      </c>
      <c r="P2" s="8" t="s">
        <v>187</v>
      </c>
      <c r="Q2" s="8" t="s">
        <v>188</v>
      </c>
      <c r="R2" s="8" t="s">
        <v>189</v>
      </c>
      <c r="S2" s="8" t="s">
        <v>190</v>
      </c>
    </row>
    <row r="3" spans="1:19" x14ac:dyDescent="0.3">
      <c r="A3" t="s">
        <v>11</v>
      </c>
      <c r="B3" t="s">
        <v>91</v>
      </c>
      <c r="C3" t="s">
        <v>185</v>
      </c>
      <c r="D3">
        <v>950</v>
      </c>
      <c r="E3">
        <v>0.8</v>
      </c>
      <c r="K3">
        <v>150</v>
      </c>
      <c r="L3">
        <v>5</v>
      </c>
      <c r="M3">
        <v>1.2</v>
      </c>
      <c r="N3">
        <v>60</v>
      </c>
      <c r="O3">
        <v>298</v>
      </c>
      <c r="P3" t="s">
        <v>191</v>
      </c>
      <c r="Q3">
        <v>116.2</v>
      </c>
      <c r="R3" t="s">
        <v>189</v>
      </c>
      <c r="S3" t="s">
        <v>192</v>
      </c>
    </row>
    <row r="4" spans="1:19" x14ac:dyDescent="0.3">
      <c r="A4" t="s">
        <v>11</v>
      </c>
      <c r="B4" t="s">
        <v>91</v>
      </c>
      <c r="C4" t="s">
        <v>185</v>
      </c>
      <c r="D4">
        <v>950</v>
      </c>
      <c r="E4">
        <v>0.8</v>
      </c>
      <c r="K4">
        <v>150</v>
      </c>
      <c r="L4">
        <v>5</v>
      </c>
      <c r="M4">
        <v>1.2</v>
      </c>
      <c r="N4">
        <v>60</v>
      </c>
      <c r="O4">
        <v>318</v>
      </c>
      <c r="P4" t="s">
        <v>193</v>
      </c>
      <c r="Q4">
        <v>109.84</v>
      </c>
      <c r="R4" t="s">
        <v>189</v>
      </c>
      <c r="S4" t="s">
        <v>194</v>
      </c>
    </row>
    <row r="5" spans="1:19" x14ac:dyDescent="0.3">
      <c r="A5" t="s">
        <v>11</v>
      </c>
      <c r="B5" t="s">
        <v>91</v>
      </c>
      <c r="C5" t="s">
        <v>185</v>
      </c>
      <c r="D5">
        <v>950</v>
      </c>
      <c r="E5">
        <v>0.8</v>
      </c>
      <c r="L5">
        <v>5</v>
      </c>
      <c r="M5">
        <v>1.2</v>
      </c>
      <c r="N5">
        <v>60</v>
      </c>
      <c r="O5">
        <v>298</v>
      </c>
      <c r="Q5">
        <v>156.79</v>
      </c>
      <c r="R5" t="s">
        <v>195</v>
      </c>
      <c r="S5" t="s">
        <v>196</v>
      </c>
    </row>
    <row r="6" spans="1:19" x14ac:dyDescent="0.3">
      <c r="A6" t="s">
        <v>94</v>
      </c>
      <c r="B6" t="s">
        <v>91</v>
      </c>
      <c r="C6" t="s">
        <v>197</v>
      </c>
      <c r="D6">
        <v>1559.9</v>
      </c>
      <c r="F6" t="s">
        <v>198</v>
      </c>
      <c r="K6">
        <v>50</v>
      </c>
      <c r="M6">
        <v>1.4</v>
      </c>
      <c r="Q6">
        <v>27</v>
      </c>
      <c r="R6" t="s">
        <v>195</v>
      </c>
      <c r="S6" t="s">
        <v>199</v>
      </c>
    </row>
    <row r="7" spans="1:19" x14ac:dyDescent="0.3">
      <c r="A7" t="s">
        <v>94</v>
      </c>
      <c r="B7" t="s">
        <v>91</v>
      </c>
      <c r="C7" t="s">
        <v>197</v>
      </c>
      <c r="D7">
        <v>1559.9</v>
      </c>
      <c r="F7" t="s">
        <v>200</v>
      </c>
      <c r="K7">
        <v>150</v>
      </c>
      <c r="M7">
        <v>1.4</v>
      </c>
      <c r="Q7">
        <v>66.900000000000006</v>
      </c>
      <c r="R7" t="s">
        <v>195</v>
      </c>
      <c r="S7" t="s">
        <v>201</v>
      </c>
    </row>
    <row r="8" spans="1:19" x14ac:dyDescent="0.3">
      <c r="A8" t="s">
        <v>94</v>
      </c>
      <c r="B8" t="s">
        <v>91</v>
      </c>
      <c r="C8" t="s">
        <v>202</v>
      </c>
      <c r="D8">
        <v>1100.7</v>
      </c>
      <c r="F8" t="s">
        <v>200</v>
      </c>
      <c r="K8">
        <v>50</v>
      </c>
      <c r="M8">
        <v>1</v>
      </c>
      <c r="Q8">
        <v>48</v>
      </c>
      <c r="R8" t="s">
        <v>195</v>
      </c>
      <c r="S8" t="s">
        <v>203</v>
      </c>
    </row>
    <row r="9" spans="1:19" x14ac:dyDescent="0.3">
      <c r="A9" t="s">
        <v>94</v>
      </c>
      <c r="B9" t="s">
        <v>91</v>
      </c>
      <c r="C9" t="s">
        <v>202</v>
      </c>
      <c r="D9">
        <v>1100.7</v>
      </c>
      <c r="F9" t="s">
        <v>200</v>
      </c>
      <c r="K9">
        <v>150</v>
      </c>
      <c r="M9">
        <v>1</v>
      </c>
      <c r="Q9">
        <v>100.2</v>
      </c>
      <c r="R9" t="s">
        <v>195</v>
      </c>
      <c r="S9" t="s">
        <v>204</v>
      </c>
    </row>
    <row r="10" spans="1:19" x14ac:dyDescent="0.3">
      <c r="A10" t="s">
        <v>94</v>
      </c>
      <c r="B10" t="s">
        <v>91</v>
      </c>
      <c r="C10" t="s">
        <v>197</v>
      </c>
      <c r="D10">
        <v>1559.9</v>
      </c>
      <c r="F10" t="s">
        <v>200</v>
      </c>
      <c r="K10">
        <v>150</v>
      </c>
      <c r="L10">
        <v>4</v>
      </c>
      <c r="M10">
        <v>1.4</v>
      </c>
      <c r="Q10">
        <v>73.5</v>
      </c>
      <c r="R10" t="s">
        <v>195</v>
      </c>
      <c r="S10" t="s">
        <v>205</v>
      </c>
    </row>
    <row r="11" spans="1:19" x14ac:dyDescent="0.3">
      <c r="A11" t="s">
        <v>94</v>
      </c>
      <c r="B11" t="s">
        <v>91</v>
      </c>
      <c r="C11" t="s">
        <v>202</v>
      </c>
      <c r="D11">
        <v>1100.7</v>
      </c>
      <c r="F11" t="s">
        <v>200</v>
      </c>
      <c r="K11">
        <v>150</v>
      </c>
      <c r="L11">
        <v>4</v>
      </c>
      <c r="M11">
        <v>1</v>
      </c>
      <c r="Q11">
        <v>103.7</v>
      </c>
      <c r="R11" t="s">
        <v>195</v>
      </c>
      <c r="S11" t="s">
        <v>206</v>
      </c>
    </row>
    <row r="12" spans="1:19" x14ac:dyDescent="0.3">
      <c r="A12" t="s">
        <v>94</v>
      </c>
      <c r="B12" t="s">
        <v>91</v>
      </c>
      <c r="C12" t="s">
        <v>197</v>
      </c>
      <c r="D12">
        <v>1559.9</v>
      </c>
      <c r="F12" t="s">
        <v>200</v>
      </c>
      <c r="K12">
        <v>150</v>
      </c>
      <c r="L12">
        <v>4</v>
      </c>
      <c r="M12">
        <v>1.4</v>
      </c>
      <c r="O12">
        <v>298.14999999999998</v>
      </c>
      <c r="Q12">
        <v>80</v>
      </c>
      <c r="R12" t="s">
        <v>195</v>
      </c>
      <c r="S12" t="s">
        <v>207</v>
      </c>
    </row>
    <row r="13" spans="1:19" x14ac:dyDescent="0.3">
      <c r="A13" t="s">
        <v>94</v>
      </c>
      <c r="B13" t="s">
        <v>91</v>
      </c>
      <c r="C13" t="s">
        <v>197</v>
      </c>
      <c r="D13">
        <v>1559.9</v>
      </c>
      <c r="F13" t="s">
        <v>200</v>
      </c>
      <c r="K13">
        <v>150</v>
      </c>
      <c r="L13">
        <v>4</v>
      </c>
      <c r="M13">
        <v>1.4</v>
      </c>
      <c r="O13">
        <v>323.14999999999998</v>
      </c>
      <c r="Q13">
        <v>91.5</v>
      </c>
      <c r="R13" t="s">
        <v>195</v>
      </c>
      <c r="S13" t="s">
        <v>208</v>
      </c>
    </row>
    <row r="14" spans="1:19" x14ac:dyDescent="0.3">
      <c r="A14" t="s">
        <v>94</v>
      </c>
      <c r="B14" t="s">
        <v>91</v>
      </c>
      <c r="C14" t="s">
        <v>202</v>
      </c>
      <c r="D14">
        <v>1100.7</v>
      </c>
      <c r="F14" t="s">
        <v>200</v>
      </c>
      <c r="K14">
        <v>150</v>
      </c>
      <c r="L14">
        <v>4</v>
      </c>
      <c r="M14">
        <v>1</v>
      </c>
      <c r="O14">
        <v>298.14999999999998</v>
      </c>
      <c r="Q14">
        <v>98.6</v>
      </c>
      <c r="R14" t="s">
        <v>195</v>
      </c>
      <c r="S14" t="s">
        <v>209</v>
      </c>
    </row>
    <row r="15" spans="1:19" x14ac:dyDescent="0.3">
      <c r="A15" t="s">
        <v>94</v>
      </c>
      <c r="B15" t="s">
        <v>91</v>
      </c>
      <c r="C15" t="s">
        <v>202</v>
      </c>
      <c r="D15">
        <v>1100.7</v>
      </c>
      <c r="F15" t="s">
        <v>200</v>
      </c>
      <c r="K15">
        <v>150</v>
      </c>
      <c r="L15">
        <v>4</v>
      </c>
      <c r="M15">
        <v>1</v>
      </c>
      <c r="O15">
        <v>323.14999999999998</v>
      </c>
      <c r="Q15">
        <v>107.2</v>
      </c>
      <c r="R15" t="s">
        <v>195</v>
      </c>
      <c r="S15" t="s">
        <v>208</v>
      </c>
    </row>
    <row r="25" spans="1:19" ht="45" customHeight="1" x14ac:dyDescent="0.3">
      <c r="A25" s="6" t="s">
        <v>33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</row>
  </sheetData>
  <mergeCells count="1">
    <mergeCell ref="A25:S25"/>
  </mergeCells>
  <dataValidations count="2">
    <dataValidation type="list" allowBlank="1" sqref="B2:B1025" xr:uid="{00000000-0002-0000-0100-000000000000}">
      <formula1>"Pb,Cd,MB,Congo Red"</formula1>
      <formula2>0</formula2>
    </dataValidation>
    <dataValidation type="list" allowBlank="1" sqref="R2:R1025" xr:uid="{00000000-0002-0000-0100-000001000000}">
      <formula1>"table,graph,text,calculated"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zoomScaleNormal="100" workbookViewId="0">
      <pane ySplit="1" topLeftCell="A23" activePane="bottomLeft" state="frozen"/>
      <selection pane="bottomLeft"/>
    </sheetView>
  </sheetViews>
  <sheetFormatPr defaultColWidth="8.6640625" defaultRowHeight="14.4" x14ac:dyDescent="0.3"/>
  <cols>
    <col min="1" max="1" width="22" customWidth="1"/>
    <col min="2" max="2" width="20" customWidth="1"/>
    <col min="3" max="3" width="8" customWidth="1"/>
    <col min="4" max="4" width="45" customWidth="1"/>
    <col min="5" max="5" width="40" customWidth="1"/>
  </cols>
  <sheetData>
    <row r="1" spans="1:5" ht="30" customHeight="1" x14ac:dyDescent="0.3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</row>
    <row r="2" spans="1:5" ht="27.75" customHeight="1" x14ac:dyDescent="0.3">
      <c r="A2" s="4" t="s">
        <v>0</v>
      </c>
      <c r="B2" s="4" t="s">
        <v>39</v>
      </c>
      <c r="C2" s="4" t="s">
        <v>40</v>
      </c>
      <c r="D2" s="4" t="s">
        <v>41</v>
      </c>
      <c r="E2" s="4" t="s">
        <v>42</v>
      </c>
    </row>
    <row r="3" spans="1:5" ht="27.75" customHeight="1" x14ac:dyDescent="0.3">
      <c r="A3" s="4" t="s">
        <v>1</v>
      </c>
      <c r="B3" s="4" t="s">
        <v>43</v>
      </c>
      <c r="C3" s="4" t="s">
        <v>40</v>
      </c>
      <c r="D3" s="4" t="s">
        <v>44</v>
      </c>
      <c r="E3" s="4"/>
    </row>
    <row r="4" spans="1:5" ht="27.75" customHeight="1" x14ac:dyDescent="0.3">
      <c r="A4" s="4" t="s">
        <v>2</v>
      </c>
      <c r="B4" s="4" t="s">
        <v>43</v>
      </c>
      <c r="C4" s="4" t="s">
        <v>40</v>
      </c>
      <c r="D4" s="4" t="s">
        <v>45</v>
      </c>
      <c r="E4" s="4"/>
    </row>
    <row r="5" spans="1:5" ht="27.75" customHeight="1" x14ac:dyDescent="0.3">
      <c r="A5" s="4" t="s">
        <v>3</v>
      </c>
      <c r="B5" s="4" t="s">
        <v>43</v>
      </c>
      <c r="C5" s="4" t="s">
        <v>40</v>
      </c>
      <c r="D5" s="4" t="s">
        <v>46</v>
      </c>
      <c r="E5" s="4"/>
    </row>
    <row r="6" spans="1:5" ht="27.75" customHeight="1" x14ac:dyDescent="0.3">
      <c r="A6" s="4" t="s">
        <v>4</v>
      </c>
      <c r="B6" s="4" t="s">
        <v>43</v>
      </c>
      <c r="C6" s="4" t="s">
        <v>40</v>
      </c>
      <c r="D6" s="4" t="s">
        <v>47</v>
      </c>
      <c r="E6" s="4"/>
    </row>
    <row r="7" spans="1:5" ht="27.75" customHeight="1" x14ac:dyDescent="0.3">
      <c r="A7" s="4" t="s">
        <v>5</v>
      </c>
      <c r="B7" s="4" t="s">
        <v>43</v>
      </c>
      <c r="C7" s="4" t="s">
        <v>40</v>
      </c>
      <c r="D7" s="4" t="s">
        <v>48</v>
      </c>
      <c r="E7" s="4"/>
    </row>
    <row r="8" spans="1:5" ht="27.75" customHeight="1" x14ac:dyDescent="0.3">
      <c r="A8" s="4" t="s">
        <v>6</v>
      </c>
      <c r="B8" s="4" t="s">
        <v>43</v>
      </c>
      <c r="C8" s="4" t="s">
        <v>40</v>
      </c>
      <c r="D8" s="4" t="s">
        <v>49</v>
      </c>
      <c r="E8" s="4"/>
    </row>
    <row r="9" spans="1:5" ht="27.75" customHeight="1" x14ac:dyDescent="0.3">
      <c r="A9" s="4" t="s">
        <v>7</v>
      </c>
      <c r="B9" s="4" t="s">
        <v>43</v>
      </c>
      <c r="C9" s="4" t="s">
        <v>40</v>
      </c>
      <c r="D9" s="4" t="s">
        <v>50</v>
      </c>
      <c r="E9" s="4" t="s">
        <v>51</v>
      </c>
    </row>
    <row r="10" spans="1:5" ht="27.75" customHeight="1" x14ac:dyDescent="0.3">
      <c r="A10" s="4" t="s">
        <v>8</v>
      </c>
      <c r="B10" s="4" t="s">
        <v>43</v>
      </c>
      <c r="C10" s="4" t="s">
        <v>40</v>
      </c>
      <c r="D10" s="4" t="s">
        <v>52</v>
      </c>
      <c r="E10" s="4" t="s">
        <v>53</v>
      </c>
    </row>
    <row r="11" spans="1:5" ht="27.75" customHeight="1" x14ac:dyDescent="0.3">
      <c r="A11" s="4" t="s">
        <v>9</v>
      </c>
      <c r="B11" s="4" t="s">
        <v>43</v>
      </c>
      <c r="C11" s="4" t="s">
        <v>40</v>
      </c>
      <c r="D11" s="4" t="s">
        <v>54</v>
      </c>
      <c r="E11" s="4" t="s">
        <v>55</v>
      </c>
    </row>
    <row r="12" spans="1:5" ht="27.75" customHeight="1" x14ac:dyDescent="0.3">
      <c r="A12" s="4" t="s">
        <v>15</v>
      </c>
      <c r="B12" s="4" t="s">
        <v>56</v>
      </c>
      <c r="C12" s="4" t="s">
        <v>40</v>
      </c>
      <c r="D12" s="4" t="s">
        <v>57</v>
      </c>
      <c r="E12" s="4" t="s">
        <v>51</v>
      </c>
    </row>
    <row r="13" spans="1:5" ht="27.75" customHeight="1" x14ac:dyDescent="0.3">
      <c r="A13" s="4" t="s">
        <v>16</v>
      </c>
      <c r="B13" s="4" t="s">
        <v>56</v>
      </c>
      <c r="C13" s="4" t="s">
        <v>40</v>
      </c>
      <c r="D13" s="4" t="s">
        <v>58</v>
      </c>
      <c r="E13" s="4" t="s">
        <v>59</v>
      </c>
    </row>
    <row r="14" spans="1:5" ht="27.75" customHeight="1" x14ac:dyDescent="0.3">
      <c r="A14" s="4" t="s">
        <v>17</v>
      </c>
      <c r="B14" s="4" t="s">
        <v>56</v>
      </c>
      <c r="C14" s="4" t="s">
        <v>60</v>
      </c>
      <c r="D14" s="4" t="s">
        <v>61</v>
      </c>
      <c r="E14" s="4" t="s">
        <v>62</v>
      </c>
    </row>
    <row r="15" spans="1:5" ht="27.75" customHeight="1" x14ac:dyDescent="0.3">
      <c r="A15" s="4" t="s">
        <v>18</v>
      </c>
      <c r="B15" s="4" t="s">
        <v>56</v>
      </c>
      <c r="C15" s="4" t="s">
        <v>63</v>
      </c>
      <c r="D15" s="4" t="s">
        <v>64</v>
      </c>
      <c r="E15" s="4" t="s">
        <v>62</v>
      </c>
    </row>
    <row r="16" spans="1:5" ht="27.75" customHeight="1" x14ac:dyDescent="0.3">
      <c r="A16" s="4" t="s">
        <v>19</v>
      </c>
      <c r="B16" s="4" t="s">
        <v>56</v>
      </c>
      <c r="C16" s="4" t="s">
        <v>40</v>
      </c>
      <c r="D16" s="4" t="s">
        <v>65</v>
      </c>
      <c r="E16" s="4" t="s">
        <v>62</v>
      </c>
    </row>
    <row r="17" spans="1:5" ht="27.75" customHeight="1" x14ac:dyDescent="0.3">
      <c r="A17" s="4" t="s">
        <v>66</v>
      </c>
      <c r="B17" s="4" t="s">
        <v>56</v>
      </c>
      <c r="C17" s="4" t="s">
        <v>67</v>
      </c>
      <c r="D17" s="4" t="s">
        <v>68</v>
      </c>
      <c r="E17" s="4" t="s">
        <v>69</v>
      </c>
    </row>
    <row r="18" spans="1:5" ht="27.75" customHeight="1" x14ac:dyDescent="0.3">
      <c r="A18" s="4" t="s">
        <v>24</v>
      </c>
      <c r="B18" s="4" t="s">
        <v>56</v>
      </c>
      <c r="C18" s="4" t="s">
        <v>70</v>
      </c>
      <c r="D18" s="4" t="s">
        <v>71</v>
      </c>
      <c r="E18" s="4"/>
    </row>
    <row r="19" spans="1:5" ht="27.75" customHeight="1" x14ac:dyDescent="0.3">
      <c r="A19" s="4" t="s">
        <v>25</v>
      </c>
      <c r="B19" s="4" t="s">
        <v>56</v>
      </c>
      <c r="C19" s="4" t="s">
        <v>40</v>
      </c>
      <c r="D19" s="4" t="s">
        <v>72</v>
      </c>
      <c r="E19" s="4"/>
    </row>
    <row r="20" spans="1:5" ht="27.75" customHeight="1" x14ac:dyDescent="0.3">
      <c r="A20" s="4" t="s">
        <v>26</v>
      </c>
      <c r="B20" s="4" t="s">
        <v>56</v>
      </c>
      <c r="C20" s="4" t="s">
        <v>73</v>
      </c>
      <c r="D20" s="4" t="s">
        <v>74</v>
      </c>
      <c r="E20" s="4"/>
    </row>
    <row r="21" spans="1:5" ht="27.75" customHeight="1" x14ac:dyDescent="0.3">
      <c r="A21" s="4" t="s">
        <v>27</v>
      </c>
      <c r="B21" s="4" t="s">
        <v>56</v>
      </c>
      <c r="C21" s="4" t="s">
        <v>75</v>
      </c>
      <c r="D21" s="4" t="s">
        <v>76</v>
      </c>
      <c r="E21" s="4"/>
    </row>
    <row r="22" spans="1:5" ht="27.75" customHeight="1" x14ac:dyDescent="0.3">
      <c r="A22" s="4" t="s">
        <v>28</v>
      </c>
      <c r="B22" s="4" t="s">
        <v>56</v>
      </c>
      <c r="C22" s="4" t="s">
        <v>77</v>
      </c>
      <c r="D22" s="4" t="s">
        <v>78</v>
      </c>
      <c r="E22" s="4" t="s">
        <v>79</v>
      </c>
    </row>
    <row r="23" spans="1:5" ht="27.75" customHeight="1" x14ac:dyDescent="0.3">
      <c r="A23" s="4" t="s">
        <v>29</v>
      </c>
      <c r="B23" s="4" t="s">
        <v>56</v>
      </c>
      <c r="C23" s="4" t="s">
        <v>70</v>
      </c>
      <c r="D23" s="4" t="s">
        <v>80</v>
      </c>
      <c r="E23" s="4" t="s">
        <v>81</v>
      </c>
    </row>
    <row r="24" spans="1:5" ht="27.75" customHeight="1" x14ac:dyDescent="0.3">
      <c r="A24" s="4" t="s">
        <v>30</v>
      </c>
      <c r="B24" s="4" t="s">
        <v>56</v>
      </c>
      <c r="C24" s="4" t="s">
        <v>82</v>
      </c>
      <c r="D24" s="4" t="s">
        <v>83</v>
      </c>
      <c r="E24" s="4"/>
    </row>
    <row r="25" spans="1:5" ht="27.75" customHeight="1" x14ac:dyDescent="0.3">
      <c r="A25" s="4" t="s">
        <v>31</v>
      </c>
      <c r="B25" s="4" t="s">
        <v>56</v>
      </c>
      <c r="C25" s="4" t="s">
        <v>40</v>
      </c>
      <c r="D25" s="4" t="s">
        <v>84</v>
      </c>
      <c r="E25" s="4" t="s">
        <v>85</v>
      </c>
    </row>
    <row r="26" spans="1:5" ht="27.75" customHeight="1" x14ac:dyDescent="0.3">
      <c r="A26" s="4" t="s">
        <v>32</v>
      </c>
      <c r="B26" s="4" t="s">
        <v>56</v>
      </c>
      <c r="C26" s="4" t="s">
        <v>40</v>
      </c>
      <c r="D26" s="4" t="s">
        <v>86</v>
      </c>
      <c r="E26" s="4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Papers Master List</vt:lpstr>
      <vt:lpstr>Data_raw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Agrawal</cp:lastModifiedBy>
  <cp:revision>0</cp:revision>
  <dcterms:created xsi:type="dcterms:W3CDTF">2026-08-30T16:51:48Z</dcterms:created>
  <dcterms:modified xsi:type="dcterms:W3CDTF">2026-08-31T07:52:14Z</dcterms:modified>
  <dc:language>en-US</dc:language>
</cp:coreProperties>
</file>