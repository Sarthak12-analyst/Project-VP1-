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Project\"/>
    </mc:Choice>
  </mc:AlternateContent>
  <xr:revisionPtr revIDLastSave="0" documentId="13_ncr:1_{F4EB9774-F555-4389-A98A-0DC507DD8D1C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Papers Master List" sheetId="1" r:id="rId1"/>
    <sheet name="Metal_Data_raw" sheetId="2" r:id="rId2"/>
    <sheet name="Dye_Data_Raw" sheetId="4" r:id="rId3"/>
    <sheet name="Data Dictionary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" i="1" l="1"/>
  <c r="M1" i="1"/>
</calcChain>
</file>

<file path=xl/sharedStrings.xml><?xml version="1.0" encoding="utf-8"?>
<sst xmlns="http://schemas.openxmlformats.org/spreadsheetml/2006/main" count="1327" uniqueCount="463">
  <si>
    <t>paper_id</t>
  </si>
  <si>
    <t>title</t>
  </si>
  <si>
    <t>authors</t>
  </si>
  <si>
    <t>year</t>
  </si>
  <si>
    <t>journal</t>
  </si>
  <si>
    <t>DOI</t>
  </si>
  <si>
    <t>pollutant(s)_studied</t>
  </si>
  <si>
    <t>included (Y/N)</t>
  </si>
  <si>
    <t>exclusion_reason</t>
  </si>
  <si>
    <t>pdf_filename</t>
  </si>
  <si>
    <t>Papers included:</t>
  </si>
  <si>
    <t>P001</t>
  </si>
  <si>
    <t>Y</t>
  </si>
  <si>
    <t>Papers excluded:</t>
  </si>
  <si>
    <t>pollutant</t>
  </si>
  <si>
    <t>AC_precursor</t>
  </si>
  <si>
    <t>BET_m2g</t>
  </si>
  <si>
    <t>pore_vol_cm3g</t>
  </si>
  <si>
    <t>pH_pzc</t>
  </si>
  <si>
    <t>C_pct</t>
  </si>
  <si>
    <t>H_pct</t>
  </si>
  <si>
    <t>O_pct</t>
  </si>
  <si>
    <t>N_pct</t>
  </si>
  <si>
    <t>C0_mgL</t>
  </si>
  <si>
    <t>pH</t>
  </si>
  <si>
    <t>dose_gL</t>
  </si>
  <si>
    <t>contact_time_min</t>
  </si>
  <si>
    <t>temp_K</t>
  </si>
  <si>
    <t>Ce_mgL</t>
  </si>
  <si>
    <t>qe_mgg</t>
  </si>
  <si>
    <t>data_source</t>
  </si>
  <si>
    <t>notes</t>
  </si>
  <si>
    <t>column_name</t>
  </si>
  <si>
    <t>tab</t>
  </si>
  <si>
    <t>unit</t>
  </si>
  <si>
    <t>description</t>
  </si>
  <si>
    <t>source_notes</t>
  </si>
  <si>
    <t>Papers Master List / Data</t>
  </si>
  <si>
    <t>-</t>
  </si>
  <si>
    <t>Unique ID linking a data row to its source paper</t>
  </si>
  <si>
    <t>Assign sequentially: P001, P002, ...</t>
  </si>
  <si>
    <t>Papers Master List</t>
  </si>
  <si>
    <t>Paper title</t>
  </si>
  <si>
    <t>Author list, semicolon-separated</t>
  </si>
  <si>
    <t>Publication year</t>
  </si>
  <si>
    <t>Journal name</t>
  </si>
  <si>
    <t>Digital Object Identifier</t>
  </si>
  <si>
    <t>Which of Pb/Cd/MB/Congo Red this paper covers</t>
  </si>
  <si>
    <t>Whether data was extracted from this paper</t>
  </si>
  <si>
    <t>Dropdown</t>
  </si>
  <si>
    <t>One-line reason if excluded</t>
  </si>
  <si>
    <t>e.g., 'no BET reported', 'graph not digitizable'</t>
  </si>
  <si>
    <t>Filename in references/ folder</t>
  </si>
  <si>
    <t>Must match paper_id prefix</t>
  </si>
  <si>
    <t>Data</t>
  </si>
  <si>
    <t>Pb / Cd / MB / Congo Red for this row</t>
  </si>
  <si>
    <t>Raw material / activation method of the AC</t>
  </si>
  <si>
    <t>lowercase, consistent naming</t>
  </si>
  <si>
    <t>m2/g</t>
  </si>
  <si>
    <t>BET specific surface area</t>
  </si>
  <si>
    <t>Core AC property — no imputation if missing</t>
  </si>
  <si>
    <t>cm3/g</t>
  </si>
  <si>
    <t>Total pore volume</t>
  </si>
  <si>
    <t>Point of zero charge</t>
  </si>
  <si>
    <t>C_pct/H_pct/O_pct/N_pct</t>
  </si>
  <si>
    <t>%</t>
  </si>
  <si>
    <t>Elemental composition (CHNS/EDX)</t>
  </si>
  <si>
    <t>Secondary — some leniency if paper is otherwise strong</t>
  </si>
  <si>
    <t>mg/L</t>
  </si>
  <si>
    <t>Initial pollutant concentration</t>
  </si>
  <si>
    <t>Solution pH during experiment</t>
  </si>
  <si>
    <t>g/L</t>
  </si>
  <si>
    <t>Adsorbent dose</t>
  </si>
  <si>
    <t>min</t>
  </si>
  <si>
    <t>Contact/equilibration time</t>
  </si>
  <si>
    <t>K</t>
  </si>
  <si>
    <t>Temperature</t>
  </si>
  <si>
    <t>Convert from °C: K = °C + 273.15</t>
  </si>
  <si>
    <t>Equilibrium concentration</t>
  </si>
  <si>
    <t>Isotherm-fitting only — EXCLUDE from ML features</t>
  </si>
  <si>
    <t>mg/g</t>
  </si>
  <si>
    <t>Equilibrium adsorption capacity (target variable)</t>
  </si>
  <si>
    <t>table / graph / text / calculated</t>
  </si>
  <si>
    <t>Dropdown — flags digitized values for QC</t>
  </si>
  <si>
    <t>Free-text notes (e.g., which series/run this row belongs to)</t>
  </si>
  <si>
    <t>Kinetics, equilibrium, and thermodynamics investigation on the adsorption of lead(II) by coal-based activated carbon</t>
  </si>
  <si>
    <t>Yi, Yao, Zhu, Chen, Wang, Liu</t>
  </si>
  <si>
    <t>SpringerPlus</t>
  </si>
  <si>
    <t>10.1186/s40064-016-2839-4</t>
  </si>
  <si>
    <t>Pb(II)</t>
  </si>
  <si>
    <t>—</t>
  </si>
  <si>
    <t>P001_Yi2016.pdf</t>
  </si>
  <si>
    <t>P002</t>
  </si>
  <si>
    <t>Batch and fixed bed adsorption of Pb(II) from aqueous solution using EDTA modified activated carbon derived from palm kernel shell</t>
  </si>
  <si>
    <t>Pam, Abdullah, Tan, Zainal</t>
  </si>
  <si>
    <t>BioResources</t>
  </si>
  <si>
    <t>10.15376/biores.13.1.1235-1250</t>
  </si>
  <si>
    <t>P002_Pam2018.pdf</t>
  </si>
  <si>
    <t>P003</t>
  </si>
  <si>
    <t>Efficient Adsorption of Lead (II) from Aqueous Phase Solutions Using Polypyrrole-Based Activated Carbon</t>
  </si>
  <si>
    <t>Alghamdi, Al-Odayni, Sharaf Saeed, Al-Kahtani, Alharthi, Aouak</t>
  </si>
  <si>
    <t>Materials (MDPI)</t>
  </si>
  <si>
    <t>10.3390/ma12122020</t>
  </si>
  <si>
    <t>N</t>
  </si>
  <si>
    <t>Full text accessible, but BET surface area/pore volume are not reported in this paper's own text — Table 1 values are cited as "reported elsewhere" in a separate prior publication (ref. 33) and the table itself renders as an image I cannot read numerically. Fails AC-property inclusion criterion.</t>
  </si>
  <si>
    <t>P003_Alghamdi2019.pdf</t>
  </si>
  <si>
    <t>P004</t>
  </si>
  <si>
    <t>Efficacious Sorption Capacities for Pb(II) from Contaminated Water: A Comparative Study Using Biowaste and Its Activated Carbon as Potential Adsorbents</t>
  </si>
  <si>
    <t>Devi, Goswami, Rabha, Kalita, Sarma, Devi</t>
  </si>
  <si>
    <t>ACS Omega</t>
  </si>
  <si>
    <t>10.1021/acsomega.3c00142</t>
  </si>
  <si>
    <t>Full text not accessible — ACS Omega page blocked automated fetch (bot detection); only abstract/snippet-level data available (BET=745.77 m²/g, 99.9% removal at neutral pH), insufficient for condition-set extraction.</t>
  </si>
  <si>
    <t>P004_Devi2023.pdf</t>
  </si>
  <si>
    <t>P005</t>
  </si>
  <si>
    <t>Facile preparation of amine-functionalized corn husk derived activated carbon for effective removal of selected heavy metals from battery recycling wastewater</t>
  </si>
  <si>
    <t>Ismail, Yahya, Auta, Obayomi</t>
  </si>
  <si>
    <t>Heliyon</t>
  </si>
  <si>
    <t>10.1016/j.heliyon.2022.e09516</t>
  </si>
  <si>
    <t>Pb(II), Cu(II), Ni(II)</t>
  </si>
  <si>
    <t>Full text not accessible — both Cell.com/Heliyon and ScienceDirect blocked automated fetch; PMC blocked by CAPTCHA. Only abstract-level data available (BET=92.11/442.70 m²/g; Qmax Pb=2.814 mg/g), no pH/C0/dose/time detail obtainable.</t>
  </si>
  <si>
    <t>P005_Ismail2022.pdf</t>
  </si>
  <si>
    <t>P006</t>
  </si>
  <si>
    <t>P007</t>
  </si>
  <si>
    <t>P008</t>
  </si>
  <si>
    <t>P009</t>
  </si>
  <si>
    <t>P010</t>
  </si>
  <si>
    <t>Equilibrium, Kinetic, and Diffusion Mechanism of lead(II) and cadmium(II) Adsorption onto Commercial Activated Carbons</t>
  </si>
  <si>
    <t>Lach, Okoniewska</t>
  </si>
  <si>
    <t>Molecules</t>
  </si>
  <si>
    <t>10.3390/molecules29112418</t>
  </si>
  <si>
    <t>Pb(II), Cd(II)</t>
  </si>
  <si>
    <t>Full text accessible (MDPI, open access), and pH/dose/time/C0 protocol is clearly stated, but BET surface area, pore volume, and elemental/proximate composition are reported only in Table 11 (rendered as an image in the fetched page, not extractable as text). Fails the AC-property inclusion criterion.</t>
  </si>
  <si>
    <t>P006_LachOkoniewska2024.pdf</t>
  </si>
  <si>
    <t>Adsorption of Pb2+ by Activated Carbon Produced by Microwave-Assisted K2CO3 Activation of Date Palm Leaf Sheath Fibres</t>
  </si>
  <si>
    <t>Aloud, Hameed, Yusop, Alharbi, Giesy, Alotaibi</t>
  </si>
  <si>
    <t>Water (MDPI)</t>
  </si>
  <si>
    <t>10.3390/w15223905</t>
  </si>
  <si>
    <t>P007_Aloud2023.pdf</t>
  </si>
  <si>
    <t>Kinetics and Thermodynamics of Pb(II), Zn(II), and Cd(II) Adsorption from Aqueous Solutions onto Activated Biochar Obtained from Tobacco Waste</t>
  </si>
  <si>
    <t>Jabłońska, Jabłoński, Gęga</t>
  </si>
  <si>
    <t>10.3390/ma18102324</t>
  </si>
  <si>
    <t>Pb(II), Zn(II), Cd(II)</t>
  </si>
  <si>
    <t>Full text accessible; BET (875.38 m²/g), pore volume (0.649 cm³/g), and pHpzc (9.15) are all explicitly reported in text. However, all actual condition-set q_e/removal values (CCD optimization table, kinetics, isotherms) are only presented in tables/figures rendered as images — no numeric per-condition q_e is readable from accessible text. Excluded per "undigitizable graph/table, no axis values readable" rule.</t>
  </si>
  <si>
    <t>P008_Jablonska2025.pdf</t>
  </si>
  <si>
    <t>Enhanced Adsorption of Pb(II) and Cd(II) by Activated Carbon Derived from Peach Stones for Efficient Water Decontamination</t>
  </si>
  <si>
    <t>Cameu, Almeida, Oliveira, Igansi, Jaeschke, Silveira, Paes, Dias, Pinto, Cadaval</t>
  </si>
  <si>
    <t>Processes (MDPI)</t>
  </si>
  <si>
    <t>10.3390/pr13103064</t>
  </si>
  <si>
    <t>Full text accessible; BET surface area (50 m²/g) and average pore size (23 Å) are given, but total pore volume is only discussed comparatively in prose ("lower than...0.49–0.70 cm³/g") without a specific measured value for this AC — the actual Table 1 value is not extractable. Also, the reported max q_e (150 mg/g Pb, 80 mg/g Cd at 45°C) is not tied to a stated C0 in accessible text.</t>
  </si>
  <si>
    <t>P009_Cameu2025.pdf</t>
  </si>
  <si>
    <t>Adsorption of Lead (Pb(II)) from Contaminated Water onto Activated Carbon: Kinetics, Isotherms, Thermodynamics, and Modeling by Artificial Intelligence</t>
  </si>
  <si>
    <t>Abd El-wahaab, El-Shwiniy, Alrowais, Nasef, Said</t>
  </si>
  <si>
    <t>Sustainability (MDPI)</t>
  </si>
  <si>
    <t>10.3390/su17052131</t>
  </si>
  <si>
    <t>P010_AbdElwahaab2025.pdf</t>
  </si>
  <si>
    <t>P011</t>
  </si>
  <si>
    <t>Recycling of Sewage Sludge: Synthesis and Application of Sludge-Based Activated Carbon in the Efficient Removal of Cadmium (II) and Lead (II) from Wastewater</t>
  </si>
  <si>
    <t>Aljubiri, Younes, Alosaimi, Abdel Daiem, Abdel-Salam, El-Shwiniy</t>
  </si>
  <si>
    <t>Int. J. Mol. Sci. (MDPI)</t>
  </si>
  <si>
    <t>10.3390/ijms25189866</t>
  </si>
  <si>
    <t>Cd(II), Pb(II)</t>
  </si>
  <si>
    <t>P011_Aljubiri2024.pdf</t>
  </si>
  <si>
    <t>P012</t>
  </si>
  <si>
    <t>Adsorption of cadmium(II) in wastewater by magnesium oxide modified biochar</t>
  </si>
  <si>
    <t>Xu, Xia, Zhang, Jiang, Cai, Hu</t>
  </si>
  <si>
    <t>Arabian Journal of Chemistry</t>
  </si>
  <si>
    <t>10.1016/j.arabjc.2022.104059</t>
  </si>
  <si>
    <t>Cd(II)</t>
  </si>
  <si>
    <t>Full text accessible; BET/pore data given for a "treated AC" baseline (919.441 m²/g, 0.585 mL/g), but all reported adsorption performance (isotherms, kinetics, C0/pH/dose effects) is for the MgO-doped composite (MgO-AC), not plain activated carbon. The actual adsorbent under test is out of project scope (AC only), and no standalone AC condition-set data are reported.</t>
  </si>
  <si>
    <t>P012_Xu2022.pdf</t>
  </si>
  <si>
    <t>P013</t>
  </si>
  <si>
    <t>Adsorption Kinetics of Cadmium and Lead by Biochars in Single- and Bisolute Brackish Water Systems</t>
  </si>
  <si>
    <t>Rafiq, Wongrod, Vinitnantharat</t>
  </si>
  <si>
    <t>10.1021/acsomega.3c03335</t>
  </si>
  <si>
    <t>Full text not accessible — ACS Publications blocks automated fetch (bot detection); PMC mirror (PMC10702322) blocked by CAPTCHA. Only abstract/citation-level data available (includes a commercial AC comparator with real % removal figures at various salinities, but no BET/pore volume/condition-set numbers extractable).</t>
  </si>
  <si>
    <t>P013_Rafiq2023.pdf</t>
  </si>
  <si>
    <t>P014</t>
  </si>
  <si>
    <t>Adsorption of Cd (II) on Modified Granular Activated Carbons: Isotherm and Column Study</t>
  </si>
  <si>
    <t>Not extracted (full text inaccessible)</t>
  </si>
  <si>
    <t>(PMC6149846)</t>
  </si>
  <si>
    <t>Not extracted</t>
  </si>
  <si>
    <t>Full text not accessible — PMC blocked by CAPTCHA on every attempt. Only abstract-level modeling detail (BET/DA/DFT pore models mentioned) available; no numeric AC-property or condition-set data obtainable.</t>
  </si>
  <si>
    <t>P014_UnknownModifiedGAC.pdf</t>
  </si>
  <si>
    <t>calculated</t>
  </si>
  <si>
    <t>coal (anthracite)</t>
  </si>
  <si>
    <t>table</t>
  </si>
  <si>
    <t>qe_exp from pseudo-second order kinetics table[cite: 5]</t>
  </si>
  <si>
    <t>Langmuir Qmax[cite: 5]</t>
  </si>
  <si>
    <t>Calculated from 92.96% removal stated in text[cite: 5]</t>
  </si>
  <si>
    <t>Calculated from 87.87% removal stated in text[cite: 5]</t>
  </si>
  <si>
    <t>palm kernel shell</t>
  </si>
  <si>
    <t>Langmuir Qmax[cite: 4]</t>
  </si>
  <si>
    <t>Langmuir Qmax; EDTA-modified AC[cite: 4]</t>
  </si>
  <si>
    <t>qe_exp from pseudo-second order kinetics table, assumed C0=100[cite: 4]</t>
  </si>
  <si>
    <t>qe_exp from pseudo-second order kinetics table, assumed C0=100; EDTA-modified AC[cite: 4]</t>
  </si>
  <si>
    <t>Thermodynamic parameters table[cite: 4]</t>
  </si>
  <si>
    <t>Thermodynamic parameters table; EDTA-modified AC[cite: 4]</t>
  </si>
  <si>
    <t>Polypyrrole</t>
  </si>
  <si>
    <t>qe_exp from kinetics table[cite: 3]</t>
  </si>
  <si>
    <t>Langmuir Qmax[cite: 3]</t>
  </si>
  <si>
    <t>graph</t>
  </si>
  <si>
    <t>Effect of pH, values directly labeled on bars[cite: 3]</t>
  </si>
  <si>
    <t>Commercial AC (WG-12)</t>
  </si>
  <si>
    <t>Langmuir Qmax; C0 unstated (isotherm series 10-100 mg/L)[cite: 6]</t>
  </si>
  <si>
    <t>Commercial AC (ROW 08 Supra)</t>
  </si>
  <si>
    <t>Commercial AC (F-300)</t>
  </si>
  <si>
    <t>Fitted PSO qe[cite: 6]</t>
  </si>
  <si>
    <t>Calculated from 92.9% removal in Demineralised water[cite: 6]</t>
  </si>
  <si>
    <t>Calculated from 90.8% removal in Spring water[cite: 6]</t>
  </si>
  <si>
    <t>Calculated from 89.2% removal in Low-mineralised water[cite: 6]</t>
  </si>
  <si>
    <t>Calculated from 83.7% removal in Medium mineralised water[cite: 6]</t>
  </si>
  <si>
    <t>Calculated from 67.8% removal in Highly mineralised water[cite: 6]</t>
  </si>
  <si>
    <t>Calculated from 81.8% removal in Demineralised water[cite: 6]</t>
  </si>
  <si>
    <t>Calculated from 79.1% removal in Spring water[cite: 6]</t>
  </si>
  <si>
    <t>Calculated from 78.2% removal in Low-mineralised water[cite: 6]</t>
  </si>
  <si>
    <t>Calculated from 70.8% removal in Medium mineralised water[cite: 6]</t>
  </si>
  <si>
    <t>Calculated from 63.7% removal in Highly mineralised water[cite: 6]</t>
  </si>
  <si>
    <t>tobacco waste stems</t>
  </si>
  <si>
    <t>Langmuir QL Table 7[cite: 12]</t>
  </si>
  <si>
    <t>Fitted PSO qe Table 6[cite: 12]</t>
  </si>
  <si>
    <t>maritime pinewood</t>
  </si>
  <si>
    <t>Calculated from Table 4 Ce[cite: 10]</t>
  </si>
  <si>
    <t>Langmuir Qmax from Table 7[cite: 10]</t>
  </si>
  <si>
    <t>sewage sludge (thickened)</t>
  </si>
  <si>
    <t>Langmuir Xm from Table 7 (SBAC1)[cite: 9]</t>
  </si>
  <si>
    <t>sewage sludge (unthickened)</t>
  </si>
  <si>
    <t>Langmuir Xm from Table 7 (SBAC2)[cite: 9]</t>
  </si>
  <si>
    <t>Treated AC (plain AC without MgO); qe approx from 52% adsorption rate at 200 min in Fig 14[cite: 15]</t>
  </si>
  <si>
    <t>Single-solute system; AC only; qe from PSO model in Table 3[cite: 14]</t>
  </si>
  <si>
    <t>C. oleifera shells</t>
  </si>
  <si>
    <t>bamboo</t>
  </si>
  <si>
    <t>P015</t>
  </si>
  <si>
    <t>Adsorptive removal of cadmium (II) from wastewater using activated carbon synthesized from stem of Khat (Catha edulis)</t>
  </si>
  <si>
    <t>Not confirmed (PMC blocked)</t>
  </si>
  <si>
    <t>(journal not confirmed — PMC-hosted)</t>
  </si>
  <si>
    <t>Not confirmed</t>
  </si>
  <si>
    <t>N (tentative)</t>
  </si>
  <si>
    <t>Full text not accessible — PMC blocked by CAPTCHA on every attempt. Abstract only reports proximate analysis (moisture/ash/volatile %) and BET surface area (615 m²/g) — no pore volume value seen, and no C0/pH/dose/time or qe data confirmed.</t>
  </si>
  <si>
    <t>P015_KhatStemAC2024.pdf</t>
  </si>
  <si>
    <t>P016</t>
  </si>
  <si>
    <t>Surface chemistry and adsorption mechanism of cadmium ion on activated carbon derived from Garcinia mangostana shell</t>
  </si>
  <si>
    <t>Not confirmed (not yet fetched)</t>
  </si>
  <si>
    <t>Korean Journal of Chemical Engineering</t>
  </si>
  <si>
    <t>10.1007/s11814-013-0130-8</t>
  </si>
  <si>
    <t>Springer-hosted but not fully fetched this round — likely paywalled (non-open-access Springer journal, unlike SpringerPlus/SpringerOpen). Abstract-level only: BET=1498 m²/g, pH_pzc=2.8 confirmed; pore volume and condition-set data not verified.</t>
  </si>
  <si>
    <t>P016_GarciniaCAC2013.pdf</t>
  </si>
  <si>
    <t>P017</t>
  </si>
  <si>
    <t>Statistical analyses on effective removal of cadmium and hexavalent chromium ions by multiwall carbon nanotubes (MWCNTs)</t>
  </si>
  <si>
    <t>(PMC7287254)</t>
  </si>
  <si>
    <t>Cd(II), Cr(VI)</t>
  </si>
  <si>
    <t>Primary adsorbent under test is a Co–Fe/AC composite compared against plain AC and MWCNTs — plain AC is only a characterization baseline (BET=230.24 m²/g); unclear from abstract whether plain-AC-only adsorption performance (vs. only the composite) is reported. PMC full text blocked by CAPTCHA, so this is unresolved.</t>
  </si>
  <si>
    <t>P017_MWCNTsCoFeAC.pdf</t>
  </si>
  <si>
    <t>P018</t>
  </si>
  <si>
    <t>Adsorption of cadmium from wastewater with activated carbons derived from pig fur biowaste: A comparative study of in-situ and ex-situ activation routes</t>
  </si>
  <si>
    <t>Orugba, Sinebe, Chukwuneke, Okoro, Enyi, Ani</t>
  </si>
  <si>
    <t>(DOAJ-listed, DOI not yet confirmed)</t>
  </si>
  <si>
    <t>Not yet fetched for full text this round. Abstract reports RSM-optimized process conditions (temperature, time, impregnation ratio) and % cadmium removal, but no BET/pore volume figures appear in the abstract — needs full-text check before final inclusion call.</t>
  </si>
  <si>
    <t>P018_Orugba2024.pdf</t>
  </si>
  <si>
    <t>P019</t>
  </si>
  <si>
    <t>Cd(II) adsorption from aqueous solution using pristine and activated Melocanna baccifera biochar: isotherm and kinetics studies</t>
  </si>
  <si>
    <t>Lalchawiliana, Laltlankimi Khiangte, Tongbram Punshi Singh, Lalremruata Hauhnar</t>
  </si>
  <si>
    <t>Frontiers in Carbon</t>
  </si>
  <si>
    <t>10.3389/frcrb.2026.1720673</t>
  </si>
  <si>
    <t>KOH/H3PO4-activated biochar (within AC scope), Frontiers is typically open access, but not yet fetched this round for BET/pore volume/condition-set verification. Abstract confirms a BET increase after activation (~34%) and qmax=24.39 mg/g, but no specific numbers given in the snippet.</t>
  </si>
  <si>
    <t>Khat (Catha edulis) stem</t>
  </si>
  <si>
    <t>Langmuir qmax; C0 varied 20-100 mg/L[cite: 22]</t>
  </si>
  <si>
    <t>Garcinia mangostana shell</t>
  </si>
  <si>
    <t>qe_exp from kinetic studies (Table 5)[cite: 21]</t>
  </si>
  <si>
    <t>Langmuir Q0 from Table 4[cite: 21]</t>
  </si>
  <si>
    <t>Calculated from ~4% removal in Fig 5; assumed dose is 0.5 g/L[cite: 21]</t>
  </si>
  <si>
    <t>Calculated from ~32% removal in Fig 5; assumed dose is 0.5 g/L[cite: 21]</t>
  </si>
  <si>
    <t>Calculated from ~39% removal in Fig 5; assumed dose is 0.5 g/L[cite: 21]</t>
  </si>
  <si>
    <t>Calculated from ~67% removal in Fig 5; assumed dose is 0.5 g/L[cite: 21]</t>
  </si>
  <si>
    <t>Calculated from ~86% removal in Fig 5; assumed dose is 0.5 g/L[cite: 21]</t>
  </si>
  <si>
    <t>Calculated from ~95% removal in Fig 5; assumed dose is 0.5 g/L[cite: 21]</t>
  </si>
  <si>
    <t>castor seed</t>
  </si>
  <si>
    <t>Langmuir qm; MWCNTs adsorbent[cite: 20]</t>
  </si>
  <si>
    <t>qe_exp from kinetics Table 5[cite: 20]</t>
  </si>
  <si>
    <t>pig fur biowaste</t>
  </si>
  <si>
    <t>In-situ activated carbon; calculated from 91.57% removal[cite: 19]</t>
  </si>
  <si>
    <t>Ex-situ activated carbon; calculated from 91.21% removal[cite: 19]</t>
  </si>
  <si>
    <t>Melocanna baccifera (bamboo)</t>
  </si>
  <si>
    <t>Langmuir qmax; MAB (activated biochar)[cite: 18]</t>
  </si>
  <si>
    <t>qe_exp from kinetics Table 2; MAB (activated biochar)[cite: 18]</t>
  </si>
  <si>
    <t>Dyes Papers</t>
  </si>
  <si>
    <t>P020</t>
  </si>
  <si>
    <t>Comparative adsorption isotherms and modeling of methylene blue onto activated carbons</t>
  </si>
  <si>
    <t>Belhachemi, Addoun</t>
  </si>
  <si>
    <t>Applied Water Science</t>
  </si>
  <si>
    <t>10.1007/s13201-011-0014-1</t>
  </si>
  <si>
    <t>MB</t>
  </si>
  <si>
    <t>P020_Belhachemi2011.pdf</t>
  </si>
  <si>
    <t>P021</t>
  </si>
  <si>
    <t>Experimental Design, Equilibrium Modeling and Kinetic Studies on the Adsorption of Methylene Blue by Adsorbent: Activated Carbon from Durian Shell Waste</t>
  </si>
  <si>
    <t>Tran, Ðo, Ha, Duong, Chu, Vu, Chau, Tran, Song</t>
  </si>
  <si>
    <t>10.3390/ma15238566</t>
  </si>
  <si>
    <t>P021_Tran2022.pdf</t>
  </si>
  <si>
    <t>P022</t>
  </si>
  <si>
    <t>Assessment of the Porous Structure and Surface Chemistry of Activated Biocarbons Used for Methylene Blue Adsorption</t>
  </si>
  <si>
    <t>Charmas, Ziezio, Jedynak</t>
  </si>
  <si>
    <t>10.3390/molecules28134922</t>
  </si>
  <si>
    <t>P022_Charmas2023.pdf</t>
  </si>
  <si>
    <t>P023</t>
  </si>
  <si>
    <t>Adsorption of methylene blue onto activated carbon produced from tea (Camellia sinensis L.) seed shells: kinetics, equilibrium, and thermodynamics studies</t>
  </si>
  <si>
    <t>(PMC3709070)</t>
  </si>
  <si>
    <t>Full text not accessible — PMC blocked by CAPTCHA. Abstract gives BET=1530.67 m²/g, pore volume=0.7826 cm³/g, Langmuir qmax=324.7 mg/g, but no C0/pH/dose/time condition-set data confirmable.</t>
  </si>
  <si>
    <t>P023_TeaSeedShell.pdf</t>
  </si>
  <si>
    <t>P024</t>
  </si>
  <si>
    <t>Methylene blue adsorption mechanism of activated carbon synthesised from cashew nut shells</t>
  </si>
  <si>
    <t>(PMC9037662)</t>
  </si>
  <si>
    <t>Full text not accessible — PMC blocked by CAPTCHA.</t>
  </si>
  <si>
    <t>P024_CashewNutShell.pdf</t>
  </si>
  <si>
    <t>P025</t>
  </si>
  <si>
    <t>The Use of High Surface Area Mesoporous-Activated Carbon from Longan Seed Biomass for Increasing Capacity and Kinetics of Methylene Blue Adsorption</t>
  </si>
  <si>
    <t>(PMC8587158)</t>
  </si>
  <si>
    <t>Full text not accessible — PMC blocked by CAPTCHA. Abstract gives BET=1773 m²/g, mesopore volume=0.474 cm³/g, qmax up to 1000 mg/g, but no condition-set data confirmable.</t>
  </si>
  <si>
    <t>P025_LonganSeed.pdf</t>
  </si>
  <si>
    <t>P026</t>
  </si>
  <si>
    <t>Synthesis and characterization of modified activated carbon (MgO/AC) for methylene blue adsorption</t>
  </si>
  <si>
    <t>Not confirmed (not fetched)</t>
  </si>
  <si>
    <t>Water Science &amp; Technology (IWA)</t>
  </si>
  <si>
    <t>Primary adsorbent is a metal-oxide composite (MgO/AC), out of project scope (AC only), consistent with the same exclusion rule applied to metal-oxide composites in the Cd(II) batch. Not fetched further.</t>
  </si>
  <si>
    <t>P026_MgOAC.pdf</t>
  </si>
  <si>
    <t>date stones</t>
  </si>
  <si>
    <t>Langmuir Q0 from Table 3; C0 unstated (isotherm series 30-1000 mg/L)</t>
  </si>
  <si>
    <t>durian shell</t>
  </si>
  <si>
    <t>Langmuir qmax; Dose calculated from 0.05g/20mL</t>
  </si>
  <si>
    <t>qe_exp from pseudo-second order kinetics table (Table 7)</t>
  </si>
  <si>
    <t>wheat bran</t>
  </si>
  <si>
    <t>AC-1; Langmuir qm_calc from Table 7; Elemental from EDX (wt%)</t>
  </si>
  <si>
    <t>AC-1_MW; Langmuir qm_calc from Table 7</t>
  </si>
  <si>
    <t>AC-1-OX; Langmuir qm_calc from Table 7</t>
  </si>
  <si>
    <t>AC-1-OX_MW; Langmuir qm_calc from Table 7</t>
  </si>
  <si>
    <t>AC-2; Langmuir qm_calc from Table 7</t>
  </si>
  <si>
    <t>AC-2_MW; Langmuir qm_calc from Table 7</t>
  </si>
  <si>
    <t>tea seed shells</t>
  </si>
  <si>
    <t>qe_exp from kinetics Table 3; Time approximated from text</t>
  </si>
  <si>
    <t>Langmuir qmax from Table 4</t>
  </si>
  <si>
    <t>cashew nut shells</t>
  </si>
  <si>
    <t>Approximate qe read from Fig 4B at 100 min; properties for AC activated at 850 C</t>
  </si>
  <si>
    <t>longan seed</t>
  </si>
  <si>
    <t>Sample A1; Langmuir qm from Table 7</t>
  </si>
  <si>
    <t>Sample A2; Langmuir qm from Table 7</t>
  </si>
  <si>
    <t>Sample A3; Langmuir qm from Table 7</t>
  </si>
  <si>
    <t>Sample A4; Langmuir qm from Table 7</t>
  </si>
  <si>
    <t>Sample A5; Langmuir qm from Table 7</t>
  </si>
  <si>
    <t>Sample A6; Langmuir qm from Table 7</t>
  </si>
  <si>
    <t>walnut shell</t>
  </si>
  <si>
    <t>Extracted only plain AC per instructions; Optimal conditions from Table 4; Internal inconsistency noted between stated % removal and tabulated qe</t>
  </si>
  <si>
    <t>P027</t>
  </si>
  <si>
    <t>Kinetic and Thermodynamic Study of Methylene Blue Adsorption onto Activated Carbon Obtained from the Peel of musa paradisiaca</t>
  </si>
  <si>
    <t>Vallejo, Diaz-Uribe, Duran, Vargas-Delgadillo, Barbosa</t>
  </si>
  <si>
    <t>Sci (MDPI)</t>
  </si>
  <si>
    <t>10.3390/sci7040170</t>
  </si>
  <si>
    <t>P027_Vallejo2025.pdf</t>
  </si>
  <si>
    <t>P028</t>
  </si>
  <si>
    <t>Adsorption of methylene blue onto activated carbon produced from tea (Camellia sinensis L.) seed shells</t>
  </si>
  <si>
    <t>Full text not accessible — PMC blocked by CAPTCHA (repeat candidate from Batch 1).</t>
  </si>
  <si>
    <t>P028_TeaSeedShell.pdf</t>
  </si>
  <si>
    <t>P029</t>
  </si>
  <si>
    <t>Adsorption of phenol and methylene blue contaminants onto high-performance catalytic activated carbon from biomass residues</t>
  </si>
  <si>
    <t>2025 (collection date)</t>
  </si>
  <si>
    <t>(PMC11721239)</t>
  </si>
  <si>
    <t>MB (binary system with phenol)</t>
  </si>
  <si>
    <t>Full text not accessible — PMC blocked by CAPTCHA. Abstract gives only combined single/binary qmax ranges (352.25–855.96 mg/g single; 348.90–456.39 mg/g binary), no BET/pore volume or condition-set data confirmable.</t>
  </si>
  <si>
    <t>P029_PhenolMBCatalyticAC.pdf</t>
  </si>
  <si>
    <t>P030</t>
  </si>
  <si>
    <t>Experiments and physical investigation on the adsorption of methylene [blue] on activated carbon</t>
  </si>
  <si>
    <t>(PMC12749830)</t>
  </si>
  <si>
    <t>P030_PhysicalInvestigationAC.pdf</t>
  </si>
  <si>
    <t>P031</t>
  </si>
  <si>
    <t>Adsorption of Methylene Blue on Activated Carbon Surfaces Obtained by Shock Compression of Graphite Using Reactive Molecular Dynamics</t>
  </si>
  <si>
    <t>(PMC11679267, MDPI)</t>
  </si>
  <si>
    <t>This is a molecular dynamics simulation study, not an empirical batch-adsorption experiment — no real C0/pH/dose/time/BET data to extract regardless of access. Out of scope for a literature-derived experimental dataset.</t>
  </si>
  <si>
    <t>P031_MDSimulationGraphiteAC.pdf</t>
  </si>
  <si>
    <t>P032</t>
  </si>
  <si>
    <t>Kinetics and Thermodynamics Study of Methylene Blue Adsorption to Sucrose- and Urea-Derived Nitrogen-Enriched, Hierarchically Porous Carbon Activated by KOH and H3PO4</t>
  </si>
  <si>
    <t>Not confirmed (ACS blocked)</t>
  </si>
  <si>
    <t>10.1021/acsomega.3c00339</t>
  </si>
  <si>
    <t>Full text not accessible — ACS Publications blocks automated fetch (bot detection); PMC mirror (PMC10173434) blocked by CAPTCHA.</t>
  </si>
  <si>
    <t>P032_SucroseUreaNC.pdf</t>
  </si>
  <si>
    <t>P033</t>
  </si>
  <si>
    <t>Kinetic and Thermodynamic Studies of Methylene Blue Adsorption on Biomass-Derived Biocarbon Materials</t>
  </si>
  <si>
    <t>(PMC12985126)</t>
  </si>
  <si>
    <t>Full text not accessible — PMC blocked by CAPTCHA. Abstract gives BET range (109–154 m²/g) but no condition-set data confirmable.</t>
  </si>
  <si>
    <t>P033_BiomassBiocarbon.pdf</t>
  </si>
  <si>
    <t>banana peel</t>
  </si>
  <si>
    <t>qe_exp from pseudo-second order kinetics (Table 3)[cite: 33]</t>
  </si>
  <si>
    <t>AC/EDTA; qe_exp from pseudo-second order kinetics (Table 3)[cite: 33]</t>
  </si>
  <si>
    <t>AC/TA; qe_exp from pseudo-second order kinetics (Table 3)[cite: 33]</t>
  </si>
  <si>
    <t>AC/CA; qe_exp from pseudo-second order kinetics (Table 3)[cite: 33]</t>
  </si>
  <si>
    <t>Langmuir qmax from Table 4[cite: 33]</t>
  </si>
  <si>
    <t>AC/EDTA; Langmuir qmax from Table 4.Cont[cite: 33]</t>
  </si>
  <si>
    <t>AC/TA; Langmuir qmax from Table 4.Cont[cite: 33]</t>
  </si>
  <si>
    <t>AC/CA; Langmuir qmax from Table 4.Cont[cite: 33]</t>
  </si>
  <si>
    <t>Langmuir qmax from Table 4 (Duplicate of paper P023)</t>
  </si>
  <si>
    <t>qe_exp from kinetics Table 3 (Duplicate of paper P023)</t>
  </si>
  <si>
    <t>Moringa oleifera husk</t>
  </si>
  <si>
    <t>Langmuir qm (Table 4) for MBMHC</t>
  </si>
  <si>
    <t>sesame husk</t>
  </si>
  <si>
    <t>Langmuir qm (Table 4) for MBSHC</t>
  </si>
  <si>
    <t>baobab husk</t>
  </si>
  <si>
    <t>Langmuir qm (Table 4) for MBBHC</t>
  </si>
  <si>
    <t>Fitted PSO qe (Table 3) for MBMHC single-solute system</t>
  </si>
  <si>
    <t>Fitted PSO qe (Table 3) for MBSHC single-solute system</t>
  </si>
  <si>
    <t>Fitted PSO qe (Table 3) for MBBHC single-solute system</t>
  </si>
  <si>
    <t>olive waste</t>
  </si>
  <si>
    <t>Langmuir qmax (Table 2) - Note: Massive internal inconsistency; graph shows capacities up to ~240 mg/g. Value recorded exactly as tabulated.</t>
  </si>
  <si>
    <t>Modeled Qm from Multilayer Model (Table 4)</t>
  </si>
  <si>
    <t>qe_exp from kinetics (Table 3); Dose calculated from 0.2g in 50mL</t>
  </si>
  <si>
    <t>sucrose and urea polymer</t>
  </si>
  <si>
    <t>SU-KOH; qe_exp from kinetics Table 1; XPS atomic % only, no bulk wt% reported</t>
  </si>
  <si>
    <t>text</t>
  </si>
  <si>
    <t>SU-KOH; Langmuir Qmax</t>
  </si>
  <si>
    <t>SU-KOH; Table 6 maximum capacity</t>
  </si>
  <si>
    <t>SU-H3PO4; qe_exp from kinetics Table 1; XPS atomic % only, no bulk wt% reported</t>
  </si>
  <si>
    <t>SU-H3PO4; Langmuir Qmax</t>
  </si>
  <si>
    <t>SU-H3PO4; Table 6 maximum capacity</t>
  </si>
  <si>
    <t>P034</t>
  </si>
  <si>
    <t>Efficient adsorptive removal of Congo Red dye using activated carbon derived from Spathodea campanulata flowers</t>
  </si>
  <si>
    <t>Sudarsan, Murugesan, Varadavenkatesan, Vinayagam, Selvaraj</t>
  </si>
  <si>
    <t>Scientific Reports</t>
  </si>
  <si>
    <t>10.1038/s41598-025-86032-9</t>
  </si>
  <si>
    <t>CR</t>
  </si>
  <si>
    <t>P034_Sudarsan2025.pdf</t>
  </si>
  <si>
    <t>P035</t>
  </si>
  <si>
    <t>Twigs-derived activated carbons via H3PO4/ZnCl2 composite activation for methylene blue and congo red dyes removal</t>
  </si>
  <si>
    <t>Zubir, Zaini</t>
  </si>
  <si>
    <t>10.1038/s41598-020-71034-6</t>
  </si>
  <si>
    <t>CR, MB</t>
  </si>
  <si>
    <t>P035_Zubir2020.pdf</t>
  </si>
  <si>
    <t>P036</t>
  </si>
  <si>
    <t>Efficient Removal of Congo Red from Wastewater Using Date-Pit Activated Carbon</t>
  </si>
  <si>
    <t>Fibers and Polymers (Springer)</t>
  </si>
  <si>
    <t>10.1007/s12221-025-01277-5</t>
  </si>
  <si>
    <t>Not yet fetched for full text — Fibers and Polymers is a standard (non-open-access) Springer journal, unlike SpringerOpen/Applied Water Science; likely paywalled. Abstract gives BET=946.68 m²/g, pore volume=0.46 cm³/g but no condition-set data confirmable at this access level.</t>
  </si>
  <si>
    <t>P036_DatePitAC.pdf</t>
  </si>
  <si>
    <t>P037</t>
  </si>
  <si>
    <t>Adsorption characteristics of Congo Red on coal-based mesoporous activated carbon</t>
  </si>
  <si>
    <t>Adsorption Science &amp; Technology (ScienceDirect)</t>
  </si>
  <si>
    <t>ScienceDirect abstract-page only (robots-disallowed for full fetch); reports BET range 331–679 m²/g and pHpzc &gt;10 across several ACs but no accessible condition-set data.</t>
  </si>
  <si>
    <t>P037_CoalMesoporousAC.pdf</t>
  </si>
  <si>
    <t>P038</t>
  </si>
  <si>
    <t>Adsorption of congo red on mesoporous activated carbon prepared by CO2 physical activation</t>
  </si>
  <si>
    <t>Chinese Journal of Chemical Engineering (ScienceDirect)</t>
  </si>
  <si>
    <t>CR (also Amido Black 10B)</t>
  </si>
  <si>
    <t>ScienceDirect blocks full fetch (robots disallowed). Abstract reports max qe=559.3 mg/g for CR but no BET/pore volume/condition-set data at abstract level.</t>
  </si>
  <si>
    <t>P038_SargassumCO2AC.pdf</t>
  </si>
  <si>
    <t>P039</t>
  </si>
  <si>
    <t>Adsorption enhancement of Congo red dye from wastewater based on edamame shell originated activated carbon by the cations</t>
  </si>
  <si>
    <t>Diamond and Related Materials (ScienceDirect)</t>
  </si>
  <si>
    <t>ScienceDirect blocks full fetch. Abstract reports an unusually high qmax (1509.60 mg/g) but no accessible BET/pore-volume/condition-set numbers to verify or extract.</t>
  </si>
  <si>
    <t>P039_EdamameShellAC.pdf</t>
  </si>
  <si>
    <t>fennel seeds</t>
  </si>
  <si>
    <t>FS5; Langmuir qm from Table 3</t>
  </si>
  <si>
    <t>caraway seeds</t>
  </si>
  <si>
    <t>CS5; Langmuir qm from Table 3</t>
  </si>
  <si>
    <t>FS6; Langmuir qm from Table 3</t>
  </si>
  <si>
    <t>CS6; Langmuir qm from Table 3</t>
  </si>
  <si>
    <t>FS5; qe_exp from kinetics Table 5; Ce calculated</t>
  </si>
  <si>
    <t>CS5; qe_exp from kinetics Table 5; Ce calculated</t>
  </si>
  <si>
    <t>FS6; qe_exp from kinetics Table 5; Ce calculated</t>
  </si>
  <si>
    <t>CS6; qe_exp from kinetics Table 5; Ce 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</si>
</sst>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2F5496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0" fillId="3" borderId="0" xfId="0" applyFill="1"/>
    <xf numFmtId="0" fontId="7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zoomScaleNormal="100" workbookViewId="0">
      <pane ySplit="1" topLeftCell="A28" activePane="bottomLeft" state="frozen"/>
      <selection pane="bottomLeft" activeCell="B45" sqref="B45"/>
    </sheetView>
  </sheetViews>
  <sheetFormatPr defaultColWidth="8.6640625" defaultRowHeight="14.4" x14ac:dyDescent="0.3"/>
  <cols>
    <col min="1" max="1" width="9" customWidth="1"/>
    <col min="2" max="2" width="38" customWidth="1"/>
    <col min="3" max="3" width="22" customWidth="1"/>
    <col min="4" max="4" width="7" customWidth="1"/>
    <col min="5" max="5" width="20" customWidth="1"/>
    <col min="6" max="6" width="24" customWidth="1"/>
    <col min="7" max="7" width="16" customWidth="1"/>
    <col min="8" max="8" width="12" customWidth="1"/>
    <col min="9" max="9" width="20" customWidth="1"/>
    <col min="10" max="10" width="22" customWidth="1"/>
    <col min="12" max="12" width="16.21875" bestFit="1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3">
        <f>COUNTIF(H2:H499,"Y")</f>
        <v>11</v>
      </c>
    </row>
    <row r="2" spans="1:13" ht="43.2" x14ac:dyDescent="0.3">
      <c r="A2" s="5" t="s">
        <v>11</v>
      </c>
      <c r="B2" s="5" t="s">
        <v>85</v>
      </c>
      <c r="C2" s="5" t="s">
        <v>86</v>
      </c>
      <c r="D2" s="5">
        <v>2016</v>
      </c>
      <c r="E2" s="5" t="s">
        <v>87</v>
      </c>
      <c r="F2" s="5" t="s">
        <v>88</v>
      </c>
      <c r="G2" s="5" t="s">
        <v>89</v>
      </c>
      <c r="H2" s="5" t="s">
        <v>12</v>
      </c>
      <c r="I2" s="5" t="s">
        <v>90</v>
      </c>
      <c r="J2" s="5" t="s">
        <v>91</v>
      </c>
      <c r="L2" s="2" t="s">
        <v>13</v>
      </c>
      <c r="M2" s="3">
        <f>COUNTIF(H2:H499,"N")</f>
        <v>23</v>
      </c>
    </row>
    <row r="3" spans="1:13" ht="57.6" x14ac:dyDescent="0.3">
      <c r="A3" s="5" t="s">
        <v>92</v>
      </c>
      <c r="B3" s="5" t="s">
        <v>93</v>
      </c>
      <c r="C3" s="5" t="s">
        <v>94</v>
      </c>
      <c r="D3" s="5">
        <v>2018</v>
      </c>
      <c r="E3" s="5" t="s">
        <v>95</v>
      </c>
      <c r="F3" s="5" t="s">
        <v>96</v>
      </c>
      <c r="G3" s="5" t="s">
        <v>89</v>
      </c>
      <c r="H3" s="5" t="s">
        <v>12</v>
      </c>
      <c r="I3" s="5" t="s">
        <v>90</v>
      </c>
      <c r="J3" s="5" t="s">
        <v>97</v>
      </c>
    </row>
    <row r="4" spans="1:13" ht="216" x14ac:dyDescent="0.3">
      <c r="A4" s="5" t="s">
        <v>98</v>
      </c>
      <c r="B4" s="5" t="s">
        <v>99</v>
      </c>
      <c r="C4" s="5" t="s">
        <v>100</v>
      </c>
      <c r="D4" s="5">
        <v>2019</v>
      </c>
      <c r="E4" s="5" t="s">
        <v>101</v>
      </c>
      <c r="F4" s="5" t="s">
        <v>102</v>
      </c>
      <c r="G4" s="5" t="s">
        <v>89</v>
      </c>
      <c r="H4" s="5" t="s">
        <v>103</v>
      </c>
      <c r="I4" s="5" t="s">
        <v>104</v>
      </c>
      <c r="J4" s="5" t="s">
        <v>105</v>
      </c>
    </row>
    <row r="5" spans="1:13" ht="172.8" x14ac:dyDescent="0.3">
      <c r="A5" s="5" t="s">
        <v>106</v>
      </c>
      <c r="B5" s="5" t="s">
        <v>107</v>
      </c>
      <c r="C5" s="5" t="s">
        <v>108</v>
      </c>
      <c r="D5" s="5">
        <v>2023</v>
      </c>
      <c r="E5" s="5" t="s">
        <v>109</v>
      </c>
      <c r="F5" s="5" t="s">
        <v>110</v>
      </c>
      <c r="G5" s="5" t="s">
        <v>89</v>
      </c>
      <c r="H5" s="5" t="s">
        <v>103</v>
      </c>
      <c r="I5" s="5" t="s">
        <v>111</v>
      </c>
      <c r="J5" s="5" t="s">
        <v>112</v>
      </c>
    </row>
    <row r="6" spans="1:13" ht="187.2" x14ac:dyDescent="0.3">
      <c r="A6" s="5" t="s">
        <v>113</v>
      </c>
      <c r="B6" s="5" t="s">
        <v>114</v>
      </c>
      <c r="C6" s="5" t="s">
        <v>115</v>
      </c>
      <c r="D6" s="5">
        <v>2022</v>
      </c>
      <c r="E6" s="5" t="s">
        <v>116</v>
      </c>
      <c r="F6" s="5" t="s">
        <v>117</v>
      </c>
      <c r="G6" s="5" t="s">
        <v>118</v>
      </c>
      <c r="H6" s="5" t="s">
        <v>103</v>
      </c>
      <c r="I6" s="5" t="s">
        <v>119</v>
      </c>
      <c r="J6" s="5" t="s">
        <v>120</v>
      </c>
    </row>
    <row r="7" spans="1:13" ht="216" x14ac:dyDescent="0.3">
      <c r="A7" s="5" t="s">
        <v>121</v>
      </c>
      <c r="B7" s="5" t="s">
        <v>126</v>
      </c>
      <c r="C7" s="5" t="s">
        <v>127</v>
      </c>
      <c r="D7" s="5">
        <v>2024</v>
      </c>
      <c r="E7" s="5" t="s">
        <v>128</v>
      </c>
      <c r="F7" s="5" t="s">
        <v>129</v>
      </c>
      <c r="G7" s="5" t="s">
        <v>130</v>
      </c>
      <c r="H7" s="5" t="s">
        <v>103</v>
      </c>
      <c r="I7" s="5" t="s">
        <v>131</v>
      </c>
      <c r="J7" s="5" t="s">
        <v>132</v>
      </c>
    </row>
    <row r="8" spans="1:13" ht="43.2" x14ac:dyDescent="0.3">
      <c r="A8" s="5" t="s">
        <v>122</v>
      </c>
      <c r="B8" s="5" t="s">
        <v>133</v>
      </c>
      <c r="C8" s="5" t="s">
        <v>134</v>
      </c>
      <c r="D8" s="5">
        <v>2023</v>
      </c>
      <c r="E8" s="5" t="s">
        <v>135</v>
      </c>
      <c r="F8" s="5" t="s">
        <v>136</v>
      </c>
      <c r="G8" s="5" t="s">
        <v>89</v>
      </c>
      <c r="H8" s="5" t="s">
        <v>12</v>
      </c>
      <c r="I8" s="5" t="s">
        <v>90</v>
      </c>
      <c r="J8" s="5" t="s">
        <v>137</v>
      </c>
    </row>
    <row r="9" spans="1:13" ht="331.2" x14ac:dyDescent="0.3">
      <c r="A9" s="5" t="s">
        <v>123</v>
      </c>
      <c r="B9" s="5" t="s">
        <v>138</v>
      </c>
      <c r="C9" s="5" t="s">
        <v>139</v>
      </c>
      <c r="D9" s="5">
        <v>2025</v>
      </c>
      <c r="E9" s="5" t="s">
        <v>101</v>
      </c>
      <c r="F9" s="5" t="s">
        <v>140</v>
      </c>
      <c r="G9" s="5" t="s">
        <v>141</v>
      </c>
      <c r="H9" s="5" t="s">
        <v>103</v>
      </c>
      <c r="I9" s="5" t="s">
        <v>142</v>
      </c>
      <c r="J9" s="5" t="s">
        <v>143</v>
      </c>
    </row>
    <row r="10" spans="1:13" ht="288" x14ac:dyDescent="0.3">
      <c r="A10" s="5" t="s">
        <v>124</v>
      </c>
      <c r="B10" s="5" t="s">
        <v>144</v>
      </c>
      <c r="C10" s="5" t="s">
        <v>145</v>
      </c>
      <c r="D10" s="5">
        <v>2025</v>
      </c>
      <c r="E10" s="5" t="s">
        <v>146</v>
      </c>
      <c r="F10" s="5" t="s">
        <v>147</v>
      </c>
      <c r="G10" s="5" t="s">
        <v>130</v>
      </c>
      <c r="H10" s="5" t="s">
        <v>103</v>
      </c>
      <c r="I10" s="5" t="s">
        <v>148</v>
      </c>
      <c r="J10" s="5" t="s">
        <v>149</v>
      </c>
    </row>
    <row r="11" spans="1:13" ht="72" x14ac:dyDescent="0.3">
      <c r="A11" s="5" t="s">
        <v>125</v>
      </c>
      <c r="B11" s="5" t="s">
        <v>150</v>
      </c>
      <c r="C11" s="5" t="s">
        <v>151</v>
      </c>
      <c r="D11" s="5">
        <v>2025</v>
      </c>
      <c r="E11" s="5" t="s">
        <v>152</v>
      </c>
      <c r="F11" s="5" t="s">
        <v>153</v>
      </c>
      <c r="G11" s="5" t="s">
        <v>89</v>
      </c>
      <c r="H11" s="5" t="s">
        <v>12</v>
      </c>
      <c r="I11" s="5" t="s">
        <v>90</v>
      </c>
      <c r="J11" s="5" t="s">
        <v>154</v>
      </c>
    </row>
    <row r="12" spans="1:13" ht="57.6" x14ac:dyDescent="0.3">
      <c r="A12" s="5" t="s">
        <v>155</v>
      </c>
      <c r="B12" s="5" t="s">
        <v>156</v>
      </c>
      <c r="C12" s="5" t="s">
        <v>157</v>
      </c>
      <c r="D12" s="5">
        <v>2024</v>
      </c>
      <c r="E12" s="5" t="s">
        <v>158</v>
      </c>
      <c r="F12" s="5" t="s">
        <v>159</v>
      </c>
      <c r="G12" s="5" t="s">
        <v>160</v>
      </c>
      <c r="H12" s="5" t="s">
        <v>12</v>
      </c>
      <c r="I12" s="5" t="s">
        <v>90</v>
      </c>
      <c r="J12" s="5" t="s">
        <v>161</v>
      </c>
    </row>
    <row r="13" spans="1:13" ht="273.60000000000002" x14ac:dyDescent="0.3">
      <c r="A13" s="5" t="s">
        <v>162</v>
      </c>
      <c r="B13" s="5" t="s">
        <v>163</v>
      </c>
      <c r="C13" s="5" t="s">
        <v>164</v>
      </c>
      <c r="D13" s="5">
        <v>2022</v>
      </c>
      <c r="E13" s="5" t="s">
        <v>165</v>
      </c>
      <c r="F13" s="5" t="s">
        <v>166</v>
      </c>
      <c r="G13" s="5" t="s">
        <v>167</v>
      </c>
      <c r="H13" s="5" t="s">
        <v>103</v>
      </c>
      <c r="I13" s="5" t="s">
        <v>168</v>
      </c>
      <c r="J13" s="5" t="s">
        <v>169</v>
      </c>
    </row>
    <row r="14" spans="1:13" ht="230.4" x14ac:dyDescent="0.3">
      <c r="A14" s="5" t="s">
        <v>170</v>
      </c>
      <c r="B14" s="5" t="s">
        <v>171</v>
      </c>
      <c r="C14" s="5" t="s">
        <v>172</v>
      </c>
      <c r="D14" s="5">
        <v>2023</v>
      </c>
      <c r="E14" s="5" t="s">
        <v>109</v>
      </c>
      <c r="F14" s="5" t="s">
        <v>173</v>
      </c>
      <c r="G14" s="5" t="s">
        <v>160</v>
      </c>
      <c r="H14" s="5" t="s">
        <v>103</v>
      </c>
      <c r="I14" s="5" t="s">
        <v>174</v>
      </c>
      <c r="J14" s="5" t="s">
        <v>175</v>
      </c>
    </row>
    <row r="15" spans="1:13" ht="158.4" x14ac:dyDescent="0.3">
      <c r="A15" s="5" t="s">
        <v>176</v>
      </c>
      <c r="B15" s="5" t="s">
        <v>177</v>
      </c>
      <c r="C15" s="5" t="s">
        <v>178</v>
      </c>
      <c r="D15" s="5" t="s">
        <v>90</v>
      </c>
      <c r="E15" s="5" t="s">
        <v>179</v>
      </c>
      <c r="F15" s="5" t="s">
        <v>180</v>
      </c>
      <c r="G15" s="5" t="s">
        <v>167</v>
      </c>
      <c r="H15" s="5" t="s">
        <v>103</v>
      </c>
      <c r="I15" s="5" t="s">
        <v>181</v>
      </c>
      <c r="J15" s="5" t="s">
        <v>182</v>
      </c>
    </row>
    <row r="16" spans="1:13" x14ac:dyDescent="0.3">
      <c r="A16" t="s">
        <v>231</v>
      </c>
      <c r="B16" t="s">
        <v>232</v>
      </c>
      <c r="C16" t="s">
        <v>233</v>
      </c>
      <c r="D16">
        <v>2024</v>
      </c>
      <c r="E16" t="s">
        <v>234</v>
      </c>
      <c r="F16" t="s">
        <v>235</v>
      </c>
      <c r="G16" t="s">
        <v>167</v>
      </c>
      <c r="H16" t="s">
        <v>236</v>
      </c>
      <c r="I16" t="s">
        <v>237</v>
      </c>
      <c r="J16" t="s">
        <v>238</v>
      </c>
    </row>
    <row r="17" spans="1:10" x14ac:dyDescent="0.3">
      <c r="A17" t="s">
        <v>239</v>
      </c>
      <c r="B17" t="s">
        <v>240</v>
      </c>
      <c r="C17" t="s">
        <v>241</v>
      </c>
      <c r="D17">
        <v>2013</v>
      </c>
      <c r="E17" t="s">
        <v>242</v>
      </c>
      <c r="F17" t="s">
        <v>243</v>
      </c>
      <c r="G17" t="s">
        <v>167</v>
      </c>
      <c r="H17" t="s">
        <v>236</v>
      </c>
      <c r="I17" t="s">
        <v>244</v>
      </c>
      <c r="J17" t="s">
        <v>245</v>
      </c>
    </row>
    <row r="18" spans="1:10" x14ac:dyDescent="0.3">
      <c r="A18" t="s">
        <v>246</v>
      </c>
      <c r="B18" t="s">
        <v>247</v>
      </c>
      <c r="C18" t="s">
        <v>233</v>
      </c>
      <c r="D18" t="s">
        <v>235</v>
      </c>
      <c r="E18" t="s">
        <v>248</v>
      </c>
      <c r="F18" t="s">
        <v>235</v>
      </c>
      <c r="G18" t="s">
        <v>249</v>
      </c>
      <c r="H18" t="s">
        <v>236</v>
      </c>
      <c r="I18" t="s">
        <v>250</v>
      </c>
      <c r="J18" t="s">
        <v>251</v>
      </c>
    </row>
    <row r="19" spans="1:10" x14ac:dyDescent="0.3">
      <c r="A19" t="s">
        <v>252</v>
      </c>
      <c r="B19" t="s">
        <v>253</v>
      </c>
      <c r="C19" t="s">
        <v>254</v>
      </c>
      <c r="D19">
        <v>2024</v>
      </c>
      <c r="E19" t="s">
        <v>116</v>
      </c>
      <c r="F19" t="s">
        <v>255</v>
      </c>
      <c r="G19" t="s">
        <v>167</v>
      </c>
      <c r="H19" t="s">
        <v>236</v>
      </c>
      <c r="I19" t="s">
        <v>256</v>
      </c>
      <c r="J19" t="s">
        <v>257</v>
      </c>
    </row>
    <row r="20" spans="1:10" s="6" customFormat="1" ht="30" customHeight="1" x14ac:dyDescent="0.3">
      <c r="A20" s="7" t="s">
        <v>258</v>
      </c>
      <c r="B20" s="7" t="s">
        <v>259</v>
      </c>
      <c r="C20" s="7" t="s">
        <v>260</v>
      </c>
      <c r="D20" s="7">
        <v>2026</v>
      </c>
      <c r="E20" s="7" t="s">
        <v>261</v>
      </c>
      <c r="F20" s="7" t="s">
        <v>262</v>
      </c>
      <c r="G20" s="7" t="s">
        <v>167</v>
      </c>
      <c r="H20" s="7" t="s">
        <v>236</v>
      </c>
      <c r="I20" s="7" t="s">
        <v>263</v>
      </c>
      <c r="J20" s="7"/>
    </row>
    <row r="21" spans="1:10" s="8" customFormat="1" ht="25.8" x14ac:dyDescent="0.5">
      <c r="B21" s="9" t="s">
        <v>284</v>
      </c>
    </row>
    <row r="22" spans="1:10" ht="25.2" customHeight="1" x14ac:dyDescent="0.3">
      <c r="A22" t="s">
        <v>285</v>
      </c>
      <c r="B22" t="s">
        <v>286</v>
      </c>
      <c r="C22" t="s">
        <v>287</v>
      </c>
      <c r="D22">
        <v>2011</v>
      </c>
      <c r="E22" t="s">
        <v>288</v>
      </c>
      <c r="F22" t="s">
        <v>289</v>
      </c>
      <c r="G22" t="s">
        <v>290</v>
      </c>
      <c r="H22" t="s">
        <v>12</v>
      </c>
      <c r="I22" t="s">
        <v>90</v>
      </c>
      <c r="J22" t="s">
        <v>291</v>
      </c>
    </row>
    <row r="23" spans="1:10" ht="25.2" customHeight="1" x14ac:dyDescent="0.3">
      <c r="A23" t="s">
        <v>292</v>
      </c>
      <c r="B23" t="s">
        <v>293</v>
      </c>
      <c r="C23" t="s">
        <v>294</v>
      </c>
      <c r="D23">
        <v>2022</v>
      </c>
      <c r="E23" t="s">
        <v>101</v>
      </c>
      <c r="F23" t="s">
        <v>295</v>
      </c>
      <c r="G23" t="s">
        <v>290</v>
      </c>
      <c r="H23" t="s">
        <v>12</v>
      </c>
      <c r="I23" t="s">
        <v>90</v>
      </c>
      <c r="J23" t="s">
        <v>296</v>
      </c>
    </row>
    <row r="24" spans="1:10" ht="25.2" customHeight="1" x14ac:dyDescent="0.3">
      <c r="A24" t="s">
        <v>297</v>
      </c>
      <c r="B24" t="s">
        <v>298</v>
      </c>
      <c r="C24" t="s">
        <v>299</v>
      </c>
      <c r="D24">
        <v>2023</v>
      </c>
      <c r="E24" t="s">
        <v>128</v>
      </c>
      <c r="F24" t="s">
        <v>300</v>
      </c>
      <c r="G24" t="s">
        <v>290</v>
      </c>
      <c r="H24" t="s">
        <v>12</v>
      </c>
      <c r="I24" t="s">
        <v>90</v>
      </c>
      <c r="J24" t="s">
        <v>301</v>
      </c>
    </row>
    <row r="25" spans="1:10" ht="25.2" customHeight="1" x14ac:dyDescent="0.3">
      <c r="A25" t="s">
        <v>302</v>
      </c>
      <c r="B25" t="s">
        <v>303</v>
      </c>
      <c r="C25" t="s">
        <v>233</v>
      </c>
      <c r="D25" t="s">
        <v>235</v>
      </c>
      <c r="E25" t="s">
        <v>304</v>
      </c>
      <c r="F25" t="s">
        <v>235</v>
      </c>
      <c r="G25" t="s">
        <v>290</v>
      </c>
      <c r="H25" t="s">
        <v>103</v>
      </c>
      <c r="I25" t="s">
        <v>305</v>
      </c>
      <c r="J25" t="s">
        <v>306</v>
      </c>
    </row>
    <row r="26" spans="1:10" ht="25.2" customHeight="1" x14ac:dyDescent="0.3">
      <c r="A26" t="s">
        <v>307</v>
      </c>
      <c r="B26" t="s">
        <v>308</v>
      </c>
      <c r="C26" t="s">
        <v>233</v>
      </c>
      <c r="D26" t="s">
        <v>235</v>
      </c>
      <c r="E26" t="s">
        <v>309</v>
      </c>
      <c r="F26" t="s">
        <v>235</v>
      </c>
      <c r="G26" t="s">
        <v>290</v>
      </c>
      <c r="H26" t="s">
        <v>103</v>
      </c>
      <c r="I26" t="s">
        <v>310</v>
      </c>
      <c r="J26" t="s">
        <v>311</v>
      </c>
    </row>
    <row r="27" spans="1:10" ht="25.2" customHeight="1" x14ac:dyDescent="0.3">
      <c r="A27" t="s">
        <v>312</v>
      </c>
      <c r="B27" t="s">
        <v>313</v>
      </c>
      <c r="C27" t="s">
        <v>233</v>
      </c>
      <c r="D27" t="s">
        <v>235</v>
      </c>
      <c r="E27" t="s">
        <v>314</v>
      </c>
      <c r="F27" t="s">
        <v>235</v>
      </c>
      <c r="G27" t="s">
        <v>290</v>
      </c>
      <c r="H27" t="s">
        <v>103</v>
      </c>
      <c r="I27" t="s">
        <v>315</v>
      </c>
      <c r="J27" t="s">
        <v>316</v>
      </c>
    </row>
    <row r="28" spans="1:10" ht="25.2" customHeight="1" x14ac:dyDescent="0.3">
      <c r="A28" t="s">
        <v>317</v>
      </c>
      <c r="B28" t="s">
        <v>318</v>
      </c>
      <c r="C28" t="s">
        <v>319</v>
      </c>
      <c r="D28" t="s">
        <v>235</v>
      </c>
      <c r="E28" t="s">
        <v>320</v>
      </c>
      <c r="F28" t="s">
        <v>235</v>
      </c>
      <c r="G28" t="s">
        <v>290</v>
      </c>
      <c r="H28" t="s">
        <v>103</v>
      </c>
      <c r="I28" t="s">
        <v>321</v>
      </c>
      <c r="J28" t="s">
        <v>322</v>
      </c>
    </row>
    <row r="29" spans="1:10" x14ac:dyDescent="0.3">
      <c r="A29" t="s">
        <v>349</v>
      </c>
      <c r="B29" t="s">
        <v>350</v>
      </c>
      <c r="C29" t="s">
        <v>351</v>
      </c>
      <c r="D29">
        <v>2025</v>
      </c>
      <c r="E29" t="s">
        <v>352</v>
      </c>
      <c r="F29" t="s">
        <v>353</v>
      </c>
      <c r="G29" t="s">
        <v>290</v>
      </c>
      <c r="H29" t="s">
        <v>12</v>
      </c>
      <c r="I29" t="s">
        <v>90</v>
      </c>
      <c r="J29" t="s">
        <v>354</v>
      </c>
    </row>
    <row r="30" spans="1:10" x14ac:dyDescent="0.3">
      <c r="A30" t="s">
        <v>355</v>
      </c>
      <c r="B30" t="s">
        <v>356</v>
      </c>
      <c r="C30" t="s">
        <v>233</v>
      </c>
      <c r="D30" t="s">
        <v>235</v>
      </c>
      <c r="E30" t="s">
        <v>304</v>
      </c>
      <c r="F30" t="s">
        <v>235</v>
      </c>
      <c r="G30" t="s">
        <v>290</v>
      </c>
      <c r="H30" t="s">
        <v>103</v>
      </c>
      <c r="I30" t="s">
        <v>357</v>
      </c>
      <c r="J30" t="s">
        <v>358</v>
      </c>
    </row>
    <row r="31" spans="1:10" x14ac:dyDescent="0.3">
      <c r="A31" t="s">
        <v>359</v>
      </c>
      <c r="B31" t="s">
        <v>360</v>
      </c>
      <c r="C31" t="s">
        <v>233</v>
      </c>
      <c r="D31" t="s">
        <v>361</v>
      </c>
      <c r="E31" t="s">
        <v>362</v>
      </c>
      <c r="F31" t="s">
        <v>235</v>
      </c>
      <c r="G31" t="s">
        <v>363</v>
      </c>
      <c r="H31" t="s">
        <v>103</v>
      </c>
      <c r="I31" t="s">
        <v>364</v>
      </c>
      <c r="J31" t="s">
        <v>365</v>
      </c>
    </row>
    <row r="32" spans="1:10" x14ac:dyDescent="0.3">
      <c r="A32" t="s">
        <v>366</v>
      </c>
      <c r="B32" t="s">
        <v>367</v>
      </c>
      <c r="C32" t="s">
        <v>233</v>
      </c>
      <c r="D32">
        <v>2025</v>
      </c>
      <c r="E32" t="s">
        <v>368</v>
      </c>
      <c r="F32" t="s">
        <v>235</v>
      </c>
      <c r="G32" t="s">
        <v>290</v>
      </c>
      <c r="H32" t="s">
        <v>103</v>
      </c>
      <c r="I32" t="s">
        <v>310</v>
      </c>
      <c r="J32" t="s">
        <v>369</v>
      </c>
    </row>
    <row r="33" spans="1:10" x14ac:dyDescent="0.3">
      <c r="A33" t="s">
        <v>370</v>
      </c>
      <c r="B33" t="s">
        <v>371</v>
      </c>
      <c r="C33" t="s">
        <v>233</v>
      </c>
      <c r="D33">
        <v>2024</v>
      </c>
      <c r="E33" t="s">
        <v>372</v>
      </c>
      <c r="F33" t="s">
        <v>235</v>
      </c>
      <c r="G33" t="s">
        <v>290</v>
      </c>
      <c r="H33" t="s">
        <v>103</v>
      </c>
      <c r="I33" t="s">
        <v>373</v>
      </c>
      <c r="J33" t="s">
        <v>374</v>
      </c>
    </row>
    <row r="34" spans="1:10" x14ac:dyDescent="0.3">
      <c r="A34" t="s">
        <v>375</v>
      </c>
      <c r="B34" t="s">
        <v>376</v>
      </c>
      <c r="C34" t="s">
        <v>377</v>
      </c>
      <c r="D34">
        <v>2023</v>
      </c>
      <c r="E34" t="s">
        <v>109</v>
      </c>
      <c r="F34" t="s">
        <v>378</v>
      </c>
      <c r="G34" t="s">
        <v>290</v>
      </c>
      <c r="H34" t="s">
        <v>103</v>
      </c>
      <c r="I34" t="s">
        <v>379</v>
      </c>
      <c r="J34" t="s">
        <v>380</v>
      </c>
    </row>
    <row r="35" spans="1:10" x14ac:dyDescent="0.3">
      <c r="A35" t="s">
        <v>381</v>
      </c>
      <c r="B35" t="s">
        <v>382</v>
      </c>
      <c r="C35" t="s">
        <v>233</v>
      </c>
      <c r="D35">
        <v>2025</v>
      </c>
      <c r="E35" t="s">
        <v>383</v>
      </c>
      <c r="F35" t="s">
        <v>235</v>
      </c>
      <c r="G35" t="s">
        <v>290</v>
      </c>
      <c r="H35" t="s">
        <v>103</v>
      </c>
      <c r="I35" t="s">
        <v>384</v>
      </c>
      <c r="J35" t="s">
        <v>385</v>
      </c>
    </row>
    <row r="36" spans="1:10" s="10" customFormat="1" x14ac:dyDescent="0.3">
      <c r="A36" s="10" t="s">
        <v>418</v>
      </c>
      <c r="B36" s="10" t="s">
        <v>419</v>
      </c>
      <c r="C36" s="10" t="s">
        <v>420</v>
      </c>
      <c r="D36" s="10">
        <v>2025</v>
      </c>
      <c r="E36" s="10" t="s">
        <v>421</v>
      </c>
      <c r="F36" s="10" t="s">
        <v>422</v>
      </c>
      <c r="G36" s="10" t="s">
        <v>423</v>
      </c>
      <c r="H36" s="10" t="s">
        <v>12</v>
      </c>
      <c r="I36" s="10" t="s">
        <v>90</v>
      </c>
      <c r="J36" s="10" t="s">
        <v>424</v>
      </c>
    </row>
    <row r="37" spans="1:10" s="10" customFormat="1" x14ac:dyDescent="0.3">
      <c r="A37" s="10" t="s">
        <v>425</v>
      </c>
      <c r="B37" s="10" t="s">
        <v>426</v>
      </c>
      <c r="C37" s="10" t="s">
        <v>427</v>
      </c>
      <c r="D37" s="10">
        <v>2020</v>
      </c>
      <c r="E37" s="10" t="s">
        <v>421</v>
      </c>
      <c r="F37" s="10" t="s">
        <v>428</v>
      </c>
      <c r="G37" s="10" t="s">
        <v>429</v>
      </c>
      <c r="H37" s="10" t="s">
        <v>12</v>
      </c>
      <c r="I37" s="10" t="s">
        <v>90</v>
      </c>
      <c r="J37" s="10" t="s">
        <v>430</v>
      </c>
    </row>
    <row r="38" spans="1:10" s="10" customFormat="1" x14ac:dyDescent="0.3">
      <c r="A38" s="10" t="s">
        <v>431</v>
      </c>
      <c r="B38" s="10" t="s">
        <v>432</v>
      </c>
      <c r="C38" s="10" t="s">
        <v>235</v>
      </c>
      <c r="D38" s="10">
        <v>2025</v>
      </c>
      <c r="E38" s="10" t="s">
        <v>433</v>
      </c>
      <c r="F38" s="10" t="s">
        <v>434</v>
      </c>
      <c r="G38" s="10" t="s">
        <v>423</v>
      </c>
      <c r="H38" s="10" t="s">
        <v>103</v>
      </c>
      <c r="I38" s="10" t="s">
        <v>435</v>
      </c>
      <c r="J38" s="10" t="s">
        <v>436</v>
      </c>
    </row>
    <row r="39" spans="1:10" s="10" customFormat="1" x14ac:dyDescent="0.3">
      <c r="A39" s="10" t="s">
        <v>437</v>
      </c>
      <c r="B39" s="10" t="s">
        <v>438</v>
      </c>
      <c r="C39" s="10" t="s">
        <v>235</v>
      </c>
      <c r="D39" s="10">
        <v>2007</v>
      </c>
      <c r="E39" s="10" t="s">
        <v>439</v>
      </c>
      <c r="F39" s="10" t="s">
        <v>235</v>
      </c>
      <c r="G39" s="10" t="s">
        <v>423</v>
      </c>
      <c r="H39" s="10" t="s">
        <v>103</v>
      </c>
      <c r="I39" s="10" t="s">
        <v>440</v>
      </c>
      <c r="J39" s="10" t="s">
        <v>441</v>
      </c>
    </row>
    <row r="40" spans="1:10" s="10" customFormat="1" x14ac:dyDescent="0.3">
      <c r="A40" s="10" t="s">
        <v>442</v>
      </c>
      <c r="B40" s="10" t="s">
        <v>443</v>
      </c>
      <c r="C40" s="10" t="s">
        <v>235</v>
      </c>
      <c r="D40" s="10">
        <v>2020</v>
      </c>
      <c r="E40" s="10" t="s">
        <v>444</v>
      </c>
      <c r="F40" s="10" t="s">
        <v>235</v>
      </c>
      <c r="G40" s="10" t="s">
        <v>445</v>
      </c>
      <c r="H40" s="10" t="s">
        <v>103</v>
      </c>
      <c r="I40" s="10" t="s">
        <v>446</v>
      </c>
      <c r="J40" s="10" t="s">
        <v>447</v>
      </c>
    </row>
    <row r="41" spans="1:10" s="10" customFormat="1" x14ac:dyDescent="0.3">
      <c r="A41" s="10" t="s">
        <v>448</v>
      </c>
      <c r="B41" s="10" t="s">
        <v>449</v>
      </c>
      <c r="C41" s="10" t="s">
        <v>235</v>
      </c>
      <c r="D41" s="10">
        <v>2023</v>
      </c>
      <c r="E41" s="10" t="s">
        <v>450</v>
      </c>
      <c r="F41" s="10" t="s">
        <v>235</v>
      </c>
      <c r="G41" s="10" t="s">
        <v>423</v>
      </c>
      <c r="H41" s="10" t="s">
        <v>103</v>
      </c>
      <c r="I41" s="10" t="s">
        <v>451</v>
      </c>
      <c r="J41" s="10" t="s">
        <v>452</v>
      </c>
    </row>
  </sheetData>
  <phoneticPr fontId="6" type="noConversion"/>
  <dataValidations count="2">
    <dataValidation type="list" allowBlank="1" sqref="H16:H499" xr:uid="{00000000-0002-0000-0000-000000000000}">
      <formula1>"Y,N"</formula1>
      <formula2>0</formula2>
    </dataValidation>
    <dataValidation type="list" allowBlank="1" sqref="G16:G499" xr:uid="{00000000-0002-0000-0000-000001000000}">
      <formula1>"Pb,Cd,MB,Congo Red,Pb;Cd,MB;Congo 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"/>
  <sheetViews>
    <sheetView zoomScaleNormal="100" workbookViewId="0">
      <pane ySplit="1" topLeftCell="A74" activePane="bottomLeft" state="frozen"/>
      <selection pane="bottomLeft" sqref="A1:XFD1"/>
    </sheetView>
  </sheetViews>
  <sheetFormatPr defaultColWidth="8.6640625" defaultRowHeight="14.4" x14ac:dyDescent="0.3"/>
  <cols>
    <col min="1" max="1" width="9" customWidth="1"/>
    <col min="2" max="2" width="12.6640625" bestFit="1" customWidth="1"/>
    <col min="3" max="3" width="27.109375" bestFit="1" customWidth="1"/>
    <col min="4" max="4" width="10" customWidth="1"/>
    <col min="5" max="5" width="12" customWidth="1"/>
    <col min="6" max="6" width="8" customWidth="1"/>
    <col min="7" max="10" width="7" customWidth="1"/>
    <col min="11" max="11" width="9" customWidth="1"/>
    <col min="12" max="12" width="6" customWidth="1"/>
    <col min="13" max="13" width="8" customWidth="1"/>
    <col min="14" max="14" width="12" customWidth="1"/>
    <col min="15" max="15" width="8" customWidth="1"/>
    <col min="16" max="17" width="9" customWidth="1"/>
    <col min="18" max="18" width="11" customWidth="1"/>
    <col min="19" max="19" width="186.109375" bestFit="1" customWidth="1"/>
  </cols>
  <sheetData>
    <row r="1" spans="1:19" ht="30" customHeight="1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3">
      <c r="A2" t="s">
        <v>11</v>
      </c>
      <c r="B2" t="s">
        <v>89</v>
      </c>
      <c r="C2" t="s">
        <v>184</v>
      </c>
      <c r="D2">
        <v>950</v>
      </c>
      <c r="E2">
        <v>0.8</v>
      </c>
      <c r="K2">
        <v>150</v>
      </c>
      <c r="L2">
        <v>6</v>
      </c>
      <c r="M2">
        <v>1.2</v>
      </c>
      <c r="N2">
        <v>240</v>
      </c>
      <c r="O2">
        <v>298</v>
      </c>
      <c r="Q2">
        <v>115</v>
      </c>
      <c r="R2" t="s">
        <v>185</v>
      </c>
      <c r="S2" t="s">
        <v>186</v>
      </c>
    </row>
    <row r="3" spans="1:19" x14ac:dyDescent="0.3">
      <c r="A3" t="s">
        <v>11</v>
      </c>
      <c r="B3" t="s">
        <v>89</v>
      </c>
      <c r="C3" t="s">
        <v>184</v>
      </c>
      <c r="D3">
        <v>950</v>
      </c>
      <c r="E3">
        <v>0.8</v>
      </c>
      <c r="L3">
        <v>5</v>
      </c>
      <c r="M3">
        <v>1.2</v>
      </c>
      <c r="N3">
        <v>60</v>
      </c>
      <c r="O3">
        <v>298</v>
      </c>
      <c r="Q3">
        <v>162.33000000000001</v>
      </c>
      <c r="R3" t="s">
        <v>185</v>
      </c>
      <c r="S3" t="s">
        <v>187</v>
      </c>
    </row>
    <row r="4" spans="1:19" x14ac:dyDescent="0.3">
      <c r="A4" t="s">
        <v>11</v>
      </c>
      <c r="B4" t="s">
        <v>89</v>
      </c>
      <c r="C4" t="s">
        <v>184</v>
      </c>
      <c r="D4">
        <v>950</v>
      </c>
      <c r="E4">
        <v>0.8</v>
      </c>
      <c r="K4">
        <v>150</v>
      </c>
      <c r="L4">
        <v>5</v>
      </c>
      <c r="M4">
        <v>1.2</v>
      </c>
      <c r="N4">
        <v>60</v>
      </c>
      <c r="O4">
        <v>298</v>
      </c>
      <c r="P4">
        <v>10.56</v>
      </c>
      <c r="Q4">
        <v>116.2</v>
      </c>
      <c r="R4" t="s">
        <v>183</v>
      </c>
      <c r="S4" t="s">
        <v>188</v>
      </c>
    </row>
    <row r="5" spans="1:19" x14ac:dyDescent="0.3">
      <c r="A5" t="s">
        <v>11</v>
      </c>
      <c r="B5" t="s">
        <v>89</v>
      </c>
      <c r="C5" t="s">
        <v>184</v>
      </c>
      <c r="D5">
        <v>950</v>
      </c>
      <c r="E5">
        <v>0.8</v>
      </c>
      <c r="K5">
        <v>150</v>
      </c>
      <c r="L5">
        <v>5</v>
      </c>
      <c r="M5">
        <v>1.2</v>
      </c>
      <c r="N5">
        <v>60</v>
      </c>
      <c r="O5">
        <v>318</v>
      </c>
      <c r="P5">
        <v>18.195</v>
      </c>
      <c r="Q5">
        <v>109.84</v>
      </c>
      <c r="R5" t="s">
        <v>183</v>
      </c>
      <c r="S5" t="s">
        <v>189</v>
      </c>
    </row>
    <row r="6" spans="1:19" x14ac:dyDescent="0.3">
      <c r="A6" t="s">
        <v>92</v>
      </c>
      <c r="B6" t="s">
        <v>89</v>
      </c>
      <c r="C6" t="s">
        <v>190</v>
      </c>
      <c r="D6">
        <v>1559.9</v>
      </c>
      <c r="E6">
        <v>1.71</v>
      </c>
      <c r="L6">
        <v>4</v>
      </c>
      <c r="M6">
        <v>1.4</v>
      </c>
      <c r="N6">
        <v>120</v>
      </c>
      <c r="O6">
        <v>298</v>
      </c>
      <c r="Q6">
        <v>80.599999999999994</v>
      </c>
      <c r="R6" t="s">
        <v>185</v>
      </c>
      <c r="S6" t="s">
        <v>191</v>
      </c>
    </row>
    <row r="7" spans="1:19" x14ac:dyDescent="0.3">
      <c r="A7" t="s">
        <v>92</v>
      </c>
      <c r="B7" t="s">
        <v>89</v>
      </c>
      <c r="C7" t="s">
        <v>190</v>
      </c>
      <c r="D7">
        <v>1100.7</v>
      </c>
      <c r="E7">
        <v>1.53</v>
      </c>
      <c r="L7">
        <v>4</v>
      </c>
      <c r="M7">
        <v>1</v>
      </c>
      <c r="N7">
        <v>120</v>
      </c>
      <c r="O7">
        <v>298</v>
      </c>
      <c r="Q7">
        <v>104</v>
      </c>
      <c r="R7" t="s">
        <v>185</v>
      </c>
      <c r="S7" t="s">
        <v>192</v>
      </c>
    </row>
    <row r="8" spans="1:19" x14ac:dyDescent="0.3">
      <c r="A8" t="s">
        <v>92</v>
      </c>
      <c r="B8" t="s">
        <v>89</v>
      </c>
      <c r="C8" t="s">
        <v>190</v>
      </c>
      <c r="D8">
        <v>1559.9</v>
      </c>
      <c r="E8">
        <v>1.71</v>
      </c>
      <c r="K8">
        <v>100</v>
      </c>
      <c r="M8">
        <v>1.4</v>
      </c>
      <c r="N8">
        <v>120</v>
      </c>
      <c r="O8">
        <v>298</v>
      </c>
      <c r="Q8">
        <v>56</v>
      </c>
      <c r="R8" t="s">
        <v>185</v>
      </c>
      <c r="S8" t="s">
        <v>193</v>
      </c>
    </row>
    <row r="9" spans="1:19" x14ac:dyDescent="0.3">
      <c r="A9" t="s">
        <v>92</v>
      </c>
      <c r="B9" t="s">
        <v>89</v>
      </c>
      <c r="C9" t="s">
        <v>190</v>
      </c>
      <c r="D9">
        <v>1100.7</v>
      </c>
      <c r="E9">
        <v>1.53</v>
      </c>
      <c r="K9">
        <v>100</v>
      </c>
      <c r="M9">
        <v>1</v>
      </c>
      <c r="N9">
        <v>120</v>
      </c>
      <c r="O9">
        <v>298</v>
      </c>
      <c r="Q9">
        <v>96.4</v>
      </c>
      <c r="R9" t="s">
        <v>185</v>
      </c>
      <c r="S9" t="s">
        <v>194</v>
      </c>
    </row>
    <row r="10" spans="1:19" x14ac:dyDescent="0.3">
      <c r="A10" t="s">
        <v>92</v>
      </c>
      <c r="B10" t="s">
        <v>89</v>
      </c>
      <c r="C10" t="s">
        <v>190</v>
      </c>
      <c r="D10">
        <v>1559.9</v>
      </c>
      <c r="E10">
        <v>1.71</v>
      </c>
      <c r="K10">
        <v>150</v>
      </c>
      <c r="L10">
        <v>4</v>
      </c>
      <c r="M10">
        <v>1.4</v>
      </c>
      <c r="O10">
        <v>298</v>
      </c>
      <c r="Q10">
        <v>80</v>
      </c>
      <c r="R10" t="s">
        <v>185</v>
      </c>
      <c r="S10" t="s">
        <v>195</v>
      </c>
    </row>
    <row r="11" spans="1:19" s="6" customFormat="1" ht="15.6" customHeight="1" x14ac:dyDescent="0.3">
      <c r="A11" s="7" t="s">
        <v>92</v>
      </c>
      <c r="B11" s="7" t="s">
        <v>89</v>
      </c>
      <c r="C11" s="7" t="s">
        <v>190</v>
      </c>
      <c r="D11" s="7">
        <v>1559.9</v>
      </c>
      <c r="E11" s="7">
        <v>1.71</v>
      </c>
      <c r="F11" s="7"/>
      <c r="G11" s="7"/>
      <c r="H11" s="7"/>
      <c r="I11" s="7"/>
      <c r="J11" s="7"/>
      <c r="K11" s="7">
        <v>150</v>
      </c>
      <c r="L11" s="7">
        <v>4</v>
      </c>
      <c r="M11" s="7">
        <v>1.4</v>
      </c>
      <c r="N11" s="7"/>
      <c r="O11" s="7">
        <v>308</v>
      </c>
      <c r="P11" s="7"/>
      <c r="Q11" s="7">
        <v>84.4</v>
      </c>
      <c r="R11" s="7" t="s">
        <v>185</v>
      </c>
      <c r="S11" s="7" t="s">
        <v>195</v>
      </c>
    </row>
    <row r="12" spans="1:19" x14ac:dyDescent="0.3">
      <c r="A12" t="s">
        <v>92</v>
      </c>
      <c r="B12" t="s">
        <v>89</v>
      </c>
      <c r="C12" t="s">
        <v>190</v>
      </c>
      <c r="D12">
        <v>1559.9</v>
      </c>
      <c r="E12">
        <v>1.71</v>
      </c>
      <c r="K12">
        <v>150</v>
      </c>
      <c r="L12">
        <v>4</v>
      </c>
      <c r="M12">
        <v>1.4</v>
      </c>
      <c r="O12">
        <v>313</v>
      </c>
      <c r="Q12">
        <v>88.4</v>
      </c>
      <c r="R12" t="s">
        <v>185</v>
      </c>
      <c r="S12" t="s">
        <v>195</v>
      </c>
    </row>
    <row r="13" spans="1:19" x14ac:dyDescent="0.3">
      <c r="A13" t="s">
        <v>92</v>
      </c>
      <c r="B13" t="s">
        <v>89</v>
      </c>
      <c r="C13" t="s">
        <v>190</v>
      </c>
      <c r="D13">
        <v>1559.9</v>
      </c>
      <c r="E13">
        <v>1.71</v>
      </c>
      <c r="K13">
        <v>150</v>
      </c>
      <c r="L13">
        <v>4</v>
      </c>
      <c r="M13">
        <v>1.4</v>
      </c>
      <c r="O13">
        <v>323</v>
      </c>
      <c r="Q13">
        <v>91.5</v>
      </c>
      <c r="R13" t="s">
        <v>185</v>
      </c>
      <c r="S13" t="s">
        <v>195</v>
      </c>
    </row>
    <row r="14" spans="1:19" x14ac:dyDescent="0.3">
      <c r="A14" t="s">
        <v>92</v>
      </c>
      <c r="B14" t="s">
        <v>89</v>
      </c>
      <c r="C14" t="s">
        <v>190</v>
      </c>
      <c r="D14">
        <v>1559.9</v>
      </c>
      <c r="E14">
        <v>1.71</v>
      </c>
      <c r="K14">
        <v>150</v>
      </c>
      <c r="L14">
        <v>4</v>
      </c>
      <c r="M14">
        <v>1.4</v>
      </c>
      <c r="O14">
        <v>333</v>
      </c>
      <c r="Q14">
        <v>90.9</v>
      </c>
      <c r="R14" t="s">
        <v>185</v>
      </c>
      <c r="S14" t="s">
        <v>195</v>
      </c>
    </row>
    <row r="15" spans="1:19" x14ac:dyDescent="0.3">
      <c r="A15" t="s">
        <v>92</v>
      </c>
      <c r="B15" t="s">
        <v>89</v>
      </c>
      <c r="C15" t="s">
        <v>190</v>
      </c>
      <c r="D15">
        <v>1100.7</v>
      </c>
      <c r="E15">
        <v>1.53</v>
      </c>
      <c r="K15">
        <v>150</v>
      </c>
      <c r="L15">
        <v>4</v>
      </c>
      <c r="M15">
        <v>1</v>
      </c>
      <c r="O15">
        <v>298</v>
      </c>
      <c r="Q15">
        <v>98.6</v>
      </c>
      <c r="R15" t="s">
        <v>185</v>
      </c>
      <c r="S15" t="s">
        <v>196</v>
      </c>
    </row>
    <row r="16" spans="1:19" x14ac:dyDescent="0.3">
      <c r="A16" t="s">
        <v>92</v>
      </c>
      <c r="B16" t="s">
        <v>89</v>
      </c>
      <c r="C16" t="s">
        <v>190</v>
      </c>
      <c r="D16">
        <v>1100.7</v>
      </c>
      <c r="E16">
        <v>1.53</v>
      </c>
      <c r="K16">
        <v>150</v>
      </c>
      <c r="L16">
        <v>4</v>
      </c>
      <c r="M16">
        <v>1</v>
      </c>
      <c r="O16">
        <v>308</v>
      </c>
      <c r="Q16">
        <v>98.8</v>
      </c>
      <c r="R16" t="s">
        <v>185</v>
      </c>
      <c r="S16" t="s">
        <v>196</v>
      </c>
    </row>
    <row r="17" spans="1:19" x14ac:dyDescent="0.3">
      <c r="A17" t="s">
        <v>92</v>
      </c>
      <c r="B17" t="s">
        <v>89</v>
      </c>
      <c r="C17" t="s">
        <v>190</v>
      </c>
      <c r="D17">
        <v>1100.7</v>
      </c>
      <c r="E17">
        <v>1.53</v>
      </c>
      <c r="K17">
        <v>150</v>
      </c>
      <c r="L17">
        <v>4</v>
      </c>
      <c r="M17">
        <v>1</v>
      </c>
      <c r="O17">
        <v>313</v>
      </c>
      <c r="Q17">
        <v>101.2</v>
      </c>
      <c r="R17" t="s">
        <v>185</v>
      </c>
      <c r="S17" t="s">
        <v>196</v>
      </c>
    </row>
    <row r="18" spans="1:19" x14ac:dyDescent="0.3">
      <c r="A18" t="s">
        <v>92</v>
      </c>
      <c r="B18" t="s">
        <v>89</v>
      </c>
      <c r="C18" t="s">
        <v>190</v>
      </c>
      <c r="D18">
        <v>1100.7</v>
      </c>
      <c r="E18">
        <v>1.53</v>
      </c>
      <c r="K18">
        <v>150</v>
      </c>
      <c r="L18">
        <v>4</v>
      </c>
      <c r="M18">
        <v>1</v>
      </c>
      <c r="O18">
        <v>323</v>
      </c>
      <c r="Q18">
        <v>107.2</v>
      </c>
      <c r="R18" t="s">
        <v>185</v>
      </c>
      <c r="S18" t="s">
        <v>196</v>
      </c>
    </row>
    <row r="19" spans="1:19" x14ac:dyDescent="0.3">
      <c r="A19" t="s">
        <v>92</v>
      </c>
      <c r="B19" t="s">
        <v>89</v>
      </c>
      <c r="C19" t="s">
        <v>190</v>
      </c>
      <c r="D19">
        <v>1100.7</v>
      </c>
      <c r="E19">
        <v>1.53</v>
      </c>
      <c r="K19">
        <v>150</v>
      </c>
      <c r="L19">
        <v>4</v>
      </c>
      <c r="M19">
        <v>1</v>
      </c>
      <c r="O19">
        <v>333</v>
      </c>
      <c r="Q19">
        <v>103.4</v>
      </c>
      <c r="R19" t="s">
        <v>185</v>
      </c>
      <c r="S19" t="s">
        <v>196</v>
      </c>
    </row>
    <row r="20" spans="1:19" x14ac:dyDescent="0.3">
      <c r="A20" t="s">
        <v>98</v>
      </c>
      <c r="B20" t="s">
        <v>89</v>
      </c>
      <c r="C20" t="s">
        <v>197</v>
      </c>
      <c r="D20">
        <v>2871</v>
      </c>
      <c r="E20">
        <v>5.3999999999999999E-2</v>
      </c>
      <c r="K20">
        <v>10</v>
      </c>
      <c r="L20">
        <v>5.5</v>
      </c>
      <c r="M20">
        <v>5</v>
      </c>
      <c r="N20">
        <v>1440</v>
      </c>
      <c r="O20">
        <v>296</v>
      </c>
      <c r="Q20">
        <v>1.6819999999999999</v>
      </c>
      <c r="R20" t="s">
        <v>185</v>
      </c>
      <c r="S20" t="s">
        <v>198</v>
      </c>
    </row>
    <row r="21" spans="1:19" x14ac:dyDescent="0.3">
      <c r="A21" t="s">
        <v>98</v>
      </c>
      <c r="B21" t="s">
        <v>89</v>
      </c>
      <c r="C21" t="s">
        <v>197</v>
      </c>
      <c r="D21">
        <v>2871</v>
      </c>
      <c r="E21">
        <v>5.3999999999999999E-2</v>
      </c>
      <c r="K21">
        <v>50</v>
      </c>
      <c r="L21">
        <v>5.5</v>
      </c>
      <c r="M21">
        <v>5</v>
      </c>
      <c r="N21">
        <v>1440</v>
      </c>
      <c r="O21">
        <v>296</v>
      </c>
      <c r="Q21">
        <v>8.1039999999999992</v>
      </c>
      <c r="R21" t="s">
        <v>185</v>
      </c>
      <c r="S21" t="s">
        <v>198</v>
      </c>
    </row>
    <row r="22" spans="1:19" x14ac:dyDescent="0.3">
      <c r="A22" t="s">
        <v>98</v>
      </c>
      <c r="B22" t="s">
        <v>89</v>
      </c>
      <c r="C22" t="s">
        <v>197</v>
      </c>
      <c r="D22">
        <v>2871</v>
      </c>
      <c r="E22">
        <v>5.3999999999999999E-2</v>
      </c>
      <c r="K22">
        <v>100</v>
      </c>
      <c r="L22">
        <v>5.5</v>
      </c>
      <c r="M22">
        <v>5</v>
      </c>
      <c r="N22">
        <v>1440</v>
      </c>
      <c r="O22">
        <v>296</v>
      </c>
      <c r="Q22">
        <v>16.010000000000002</v>
      </c>
      <c r="R22" t="s">
        <v>185</v>
      </c>
      <c r="S22" t="s">
        <v>198</v>
      </c>
    </row>
    <row r="23" spans="1:19" x14ac:dyDescent="0.3">
      <c r="A23" t="s">
        <v>98</v>
      </c>
      <c r="B23" t="s">
        <v>89</v>
      </c>
      <c r="C23" t="s">
        <v>197</v>
      </c>
      <c r="D23">
        <v>2871</v>
      </c>
      <c r="E23">
        <v>5.3999999999999999E-2</v>
      </c>
      <c r="L23">
        <v>5.5</v>
      </c>
      <c r="M23">
        <v>5</v>
      </c>
      <c r="N23">
        <v>360</v>
      </c>
      <c r="O23">
        <v>296</v>
      </c>
      <c r="Q23">
        <v>50</v>
      </c>
      <c r="R23" t="s">
        <v>185</v>
      </c>
      <c r="S23" t="s">
        <v>199</v>
      </c>
    </row>
    <row r="24" spans="1:19" x14ac:dyDescent="0.3">
      <c r="A24" t="s">
        <v>98</v>
      </c>
      <c r="B24" t="s">
        <v>89</v>
      </c>
      <c r="C24" t="s">
        <v>197</v>
      </c>
      <c r="D24">
        <v>2871</v>
      </c>
      <c r="E24">
        <v>5.3999999999999999E-2</v>
      </c>
      <c r="K24">
        <v>100</v>
      </c>
      <c r="L24">
        <v>4</v>
      </c>
      <c r="M24">
        <v>5</v>
      </c>
      <c r="O24">
        <v>296</v>
      </c>
      <c r="P24">
        <v>30</v>
      </c>
      <c r="Q24">
        <v>14</v>
      </c>
      <c r="R24" t="s">
        <v>200</v>
      </c>
      <c r="S24" t="s">
        <v>201</v>
      </c>
    </row>
    <row r="25" spans="1:19" x14ac:dyDescent="0.3">
      <c r="A25" t="s">
        <v>98</v>
      </c>
      <c r="B25" t="s">
        <v>89</v>
      </c>
      <c r="C25" t="s">
        <v>197</v>
      </c>
      <c r="D25">
        <v>2871</v>
      </c>
      <c r="E25">
        <v>5.3999999999999999E-2</v>
      </c>
      <c r="K25">
        <v>100</v>
      </c>
      <c r="L25">
        <v>5.5</v>
      </c>
      <c r="M25">
        <v>5</v>
      </c>
      <c r="O25">
        <v>296</v>
      </c>
      <c r="P25">
        <v>18.2</v>
      </c>
      <c r="Q25">
        <v>16.399999999999999</v>
      </c>
      <c r="R25" t="s">
        <v>200</v>
      </c>
      <c r="S25" t="s">
        <v>201</v>
      </c>
    </row>
    <row r="26" spans="1:19" x14ac:dyDescent="0.3">
      <c r="A26" t="s">
        <v>98</v>
      </c>
      <c r="B26" t="s">
        <v>89</v>
      </c>
      <c r="C26" t="s">
        <v>197</v>
      </c>
      <c r="D26">
        <v>2871</v>
      </c>
      <c r="E26">
        <v>5.3999999999999999E-2</v>
      </c>
      <c r="K26">
        <v>100</v>
      </c>
      <c r="L26">
        <v>7</v>
      </c>
      <c r="M26">
        <v>5</v>
      </c>
      <c r="O26">
        <v>296</v>
      </c>
      <c r="P26">
        <v>24</v>
      </c>
      <c r="Q26">
        <v>15.2</v>
      </c>
      <c r="R26" t="s">
        <v>200</v>
      </c>
      <c r="S26" t="s">
        <v>201</v>
      </c>
    </row>
    <row r="27" spans="1:19" x14ac:dyDescent="0.3">
      <c r="A27" t="s">
        <v>121</v>
      </c>
      <c r="B27" t="s">
        <v>89</v>
      </c>
      <c r="C27" t="s">
        <v>202</v>
      </c>
      <c r="D27">
        <v>1098</v>
      </c>
      <c r="E27">
        <v>0.99</v>
      </c>
      <c r="F27">
        <v>6.4</v>
      </c>
      <c r="L27">
        <v>6</v>
      </c>
      <c r="M27">
        <v>0.4</v>
      </c>
      <c r="N27">
        <v>360</v>
      </c>
      <c r="O27">
        <v>293.14999999999998</v>
      </c>
      <c r="Q27">
        <v>162.19</v>
      </c>
      <c r="R27" t="s">
        <v>185</v>
      </c>
      <c r="S27" t="s">
        <v>203</v>
      </c>
    </row>
    <row r="28" spans="1:19" x14ac:dyDescent="0.3">
      <c r="A28" t="s">
        <v>121</v>
      </c>
      <c r="B28" t="s">
        <v>89</v>
      </c>
      <c r="C28" t="s">
        <v>204</v>
      </c>
      <c r="D28">
        <v>897</v>
      </c>
      <c r="E28">
        <v>1.135</v>
      </c>
      <c r="F28">
        <v>6.5</v>
      </c>
      <c r="L28">
        <v>6</v>
      </c>
      <c r="M28">
        <v>0.4</v>
      </c>
      <c r="N28">
        <v>360</v>
      </c>
      <c r="O28">
        <v>293.14999999999998</v>
      </c>
      <c r="Q28">
        <v>135.94</v>
      </c>
      <c r="R28" t="s">
        <v>185</v>
      </c>
      <c r="S28" t="s">
        <v>203</v>
      </c>
    </row>
    <row r="29" spans="1:19" x14ac:dyDescent="0.3">
      <c r="A29" t="s">
        <v>121</v>
      </c>
      <c r="B29" t="s">
        <v>89</v>
      </c>
      <c r="C29" t="s">
        <v>205</v>
      </c>
      <c r="D29">
        <v>847</v>
      </c>
      <c r="E29">
        <v>0.98699999999999999</v>
      </c>
      <c r="F29">
        <v>6.6</v>
      </c>
      <c r="L29">
        <v>6</v>
      </c>
      <c r="M29">
        <v>0.4</v>
      </c>
      <c r="N29">
        <v>360</v>
      </c>
      <c r="O29">
        <v>293.14999999999998</v>
      </c>
      <c r="Q29">
        <v>149.11000000000001</v>
      </c>
      <c r="R29" t="s">
        <v>185</v>
      </c>
      <c r="S29" t="s">
        <v>203</v>
      </c>
    </row>
    <row r="30" spans="1:19" x14ac:dyDescent="0.3">
      <c r="A30" t="s">
        <v>121</v>
      </c>
      <c r="B30" t="s">
        <v>89</v>
      </c>
      <c r="C30" t="s">
        <v>202</v>
      </c>
      <c r="D30">
        <v>1098</v>
      </c>
      <c r="E30">
        <v>0.99</v>
      </c>
      <c r="F30">
        <v>6.4</v>
      </c>
      <c r="K30">
        <v>50</v>
      </c>
      <c r="L30">
        <v>6</v>
      </c>
      <c r="M30">
        <v>0.4</v>
      </c>
      <c r="O30">
        <v>293.14999999999998</v>
      </c>
      <c r="Q30">
        <v>106.21</v>
      </c>
      <c r="R30" t="s">
        <v>185</v>
      </c>
      <c r="S30" t="s">
        <v>206</v>
      </c>
    </row>
    <row r="31" spans="1:19" x14ac:dyDescent="0.3">
      <c r="A31" t="s">
        <v>121</v>
      </c>
      <c r="B31" t="s">
        <v>89</v>
      </c>
      <c r="C31" t="s">
        <v>204</v>
      </c>
      <c r="D31">
        <v>897</v>
      </c>
      <c r="E31">
        <v>1.135</v>
      </c>
      <c r="F31">
        <v>6.5</v>
      </c>
      <c r="K31">
        <v>50</v>
      </c>
      <c r="L31">
        <v>6</v>
      </c>
      <c r="M31">
        <v>0.4</v>
      </c>
      <c r="O31">
        <v>293.14999999999998</v>
      </c>
      <c r="Q31">
        <v>99.74</v>
      </c>
      <c r="R31" t="s">
        <v>185</v>
      </c>
      <c r="S31" t="s">
        <v>206</v>
      </c>
    </row>
    <row r="32" spans="1:19" x14ac:dyDescent="0.3">
      <c r="A32" t="s">
        <v>121</v>
      </c>
      <c r="B32" t="s">
        <v>89</v>
      </c>
      <c r="C32" t="s">
        <v>205</v>
      </c>
      <c r="D32">
        <v>847</v>
      </c>
      <c r="E32">
        <v>0.98699999999999999</v>
      </c>
      <c r="F32">
        <v>6.6</v>
      </c>
      <c r="K32">
        <v>50</v>
      </c>
      <c r="L32">
        <v>6</v>
      </c>
      <c r="M32">
        <v>0.4</v>
      </c>
      <c r="O32">
        <v>293.14999999999998</v>
      </c>
      <c r="Q32">
        <v>102.03</v>
      </c>
      <c r="R32" t="s">
        <v>185</v>
      </c>
      <c r="S32" t="s">
        <v>206</v>
      </c>
    </row>
    <row r="33" spans="1:19" x14ac:dyDescent="0.3">
      <c r="A33" t="s">
        <v>121</v>
      </c>
      <c r="B33" t="s">
        <v>167</v>
      </c>
      <c r="C33" t="s">
        <v>202</v>
      </c>
      <c r="D33">
        <v>1098</v>
      </c>
      <c r="E33">
        <v>0.99</v>
      </c>
      <c r="F33">
        <v>6.4</v>
      </c>
      <c r="L33">
        <v>6</v>
      </c>
      <c r="M33">
        <v>0.4</v>
      </c>
      <c r="N33">
        <v>360</v>
      </c>
      <c r="O33">
        <v>293.14999999999998</v>
      </c>
      <c r="Q33">
        <v>126.34</v>
      </c>
      <c r="R33" t="s">
        <v>185</v>
      </c>
      <c r="S33" t="s">
        <v>203</v>
      </c>
    </row>
    <row r="34" spans="1:19" x14ac:dyDescent="0.3">
      <c r="A34" t="s">
        <v>121</v>
      </c>
      <c r="B34" t="s">
        <v>167</v>
      </c>
      <c r="C34" t="s">
        <v>204</v>
      </c>
      <c r="D34">
        <v>897</v>
      </c>
      <c r="E34">
        <v>1.135</v>
      </c>
      <c r="F34">
        <v>6.5</v>
      </c>
      <c r="L34">
        <v>6</v>
      </c>
      <c r="M34">
        <v>0.4</v>
      </c>
      <c r="N34">
        <v>360</v>
      </c>
      <c r="O34">
        <v>293.14999999999998</v>
      </c>
      <c r="Q34">
        <v>69.91</v>
      </c>
      <c r="R34" t="s">
        <v>185</v>
      </c>
      <c r="S34" t="s">
        <v>203</v>
      </c>
    </row>
    <row r="35" spans="1:19" x14ac:dyDescent="0.3">
      <c r="A35" t="s">
        <v>121</v>
      </c>
      <c r="B35" t="s">
        <v>167</v>
      </c>
      <c r="C35" t="s">
        <v>205</v>
      </c>
      <c r="D35">
        <v>847</v>
      </c>
      <c r="E35">
        <v>0.98699999999999999</v>
      </c>
      <c r="F35">
        <v>6.6</v>
      </c>
      <c r="L35">
        <v>6</v>
      </c>
      <c r="M35">
        <v>0.4</v>
      </c>
      <c r="N35">
        <v>360</v>
      </c>
      <c r="O35">
        <v>293.14999999999998</v>
      </c>
      <c r="Q35">
        <v>104.42</v>
      </c>
      <c r="R35" t="s">
        <v>185</v>
      </c>
      <c r="S35" t="s">
        <v>203</v>
      </c>
    </row>
    <row r="36" spans="1:19" x14ac:dyDescent="0.3">
      <c r="A36" t="s">
        <v>121</v>
      </c>
      <c r="B36" t="s">
        <v>167</v>
      </c>
      <c r="C36" t="s">
        <v>202</v>
      </c>
      <c r="D36">
        <v>1098</v>
      </c>
      <c r="E36">
        <v>0.99</v>
      </c>
      <c r="F36">
        <v>6.4</v>
      </c>
      <c r="K36">
        <v>50</v>
      </c>
      <c r="L36">
        <v>6</v>
      </c>
      <c r="M36">
        <v>0.4</v>
      </c>
      <c r="O36">
        <v>293.14999999999998</v>
      </c>
      <c r="Q36">
        <v>92.55</v>
      </c>
      <c r="R36" t="s">
        <v>185</v>
      </c>
      <c r="S36" t="s">
        <v>206</v>
      </c>
    </row>
    <row r="37" spans="1:19" x14ac:dyDescent="0.3">
      <c r="A37" t="s">
        <v>121</v>
      </c>
      <c r="B37" t="s">
        <v>167</v>
      </c>
      <c r="C37" t="s">
        <v>204</v>
      </c>
      <c r="D37">
        <v>897</v>
      </c>
      <c r="E37">
        <v>1.135</v>
      </c>
      <c r="F37">
        <v>6.5</v>
      </c>
      <c r="K37">
        <v>50</v>
      </c>
      <c r="L37">
        <v>6</v>
      </c>
      <c r="M37">
        <v>0.4</v>
      </c>
      <c r="O37">
        <v>293.14999999999998</v>
      </c>
      <c r="Q37">
        <v>64.290000000000006</v>
      </c>
      <c r="R37" t="s">
        <v>185</v>
      </c>
      <c r="S37" t="s">
        <v>206</v>
      </c>
    </row>
    <row r="38" spans="1:19" x14ac:dyDescent="0.3">
      <c r="A38" t="s">
        <v>121</v>
      </c>
      <c r="B38" t="s">
        <v>167</v>
      </c>
      <c r="C38" t="s">
        <v>205</v>
      </c>
      <c r="D38">
        <v>847</v>
      </c>
      <c r="E38">
        <v>0.98699999999999999</v>
      </c>
      <c r="F38">
        <v>6.6</v>
      </c>
      <c r="K38">
        <v>50</v>
      </c>
      <c r="L38">
        <v>6</v>
      </c>
      <c r="M38">
        <v>0.4</v>
      </c>
      <c r="O38">
        <v>293.14999999999998</v>
      </c>
      <c r="Q38">
        <v>86.71</v>
      </c>
      <c r="R38" t="s">
        <v>185</v>
      </c>
      <c r="S38" t="s">
        <v>206</v>
      </c>
    </row>
    <row r="39" spans="1:19" x14ac:dyDescent="0.3">
      <c r="A39" t="s">
        <v>121</v>
      </c>
      <c r="B39" t="s">
        <v>89</v>
      </c>
      <c r="C39" t="s">
        <v>202</v>
      </c>
      <c r="D39">
        <v>1098</v>
      </c>
      <c r="E39">
        <v>0.99</v>
      </c>
      <c r="F39">
        <v>6.4</v>
      </c>
      <c r="K39">
        <v>10</v>
      </c>
      <c r="L39">
        <v>6</v>
      </c>
      <c r="M39">
        <v>0.4</v>
      </c>
      <c r="N39">
        <v>360</v>
      </c>
      <c r="O39">
        <v>293.14999999999998</v>
      </c>
      <c r="P39">
        <v>0.71</v>
      </c>
      <c r="Q39">
        <v>23.225000000000001</v>
      </c>
      <c r="R39" t="s">
        <v>183</v>
      </c>
      <c r="S39" t="s">
        <v>207</v>
      </c>
    </row>
    <row r="40" spans="1:19" x14ac:dyDescent="0.3">
      <c r="A40" t="s">
        <v>121</v>
      </c>
      <c r="B40" t="s">
        <v>89</v>
      </c>
      <c r="C40" t="s">
        <v>202</v>
      </c>
      <c r="D40">
        <v>1098</v>
      </c>
      <c r="E40">
        <v>0.99</v>
      </c>
      <c r="F40">
        <v>6.4</v>
      </c>
      <c r="K40">
        <v>10</v>
      </c>
      <c r="L40">
        <v>6</v>
      </c>
      <c r="M40">
        <v>0.4</v>
      </c>
      <c r="N40">
        <v>360</v>
      </c>
      <c r="O40">
        <v>293.14999999999998</v>
      </c>
      <c r="P40">
        <v>0.92</v>
      </c>
      <c r="Q40">
        <v>22.7</v>
      </c>
      <c r="R40" t="s">
        <v>183</v>
      </c>
      <c r="S40" t="s">
        <v>208</v>
      </c>
    </row>
    <row r="41" spans="1:19" x14ac:dyDescent="0.3">
      <c r="A41" t="s">
        <v>121</v>
      </c>
      <c r="B41" t="s">
        <v>89</v>
      </c>
      <c r="C41" t="s">
        <v>202</v>
      </c>
      <c r="D41">
        <v>1098</v>
      </c>
      <c r="E41">
        <v>0.99</v>
      </c>
      <c r="F41">
        <v>6.4</v>
      </c>
      <c r="K41">
        <v>10</v>
      </c>
      <c r="L41">
        <v>6</v>
      </c>
      <c r="M41">
        <v>0.4</v>
      </c>
      <c r="N41">
        <v>360</v>
      </c>
      <c r="O41">
        <v>293.14999999999998</v>
      </c>
      <c r="P41">
        <v>1.08</v>
      </c>
      <c r="Q41">
        <v>22.3</v>
      </c>
      <c r="R41" t="s">
        <v>183</v>
      </c>
      <c r="S41" t="s">
        <v>209</v>
      </c>
    </row>
    <row r="42" spans="1:19" x14ac:dyDescent="0.3">
      <c r="A42" t="s">
        <v>121</v>
      </c>
      <c r="B42" t="s">
        <v>89</v>
      </c>
      <c r="C42" t="s">
        <v>202</v>
      </c>
      <c r="D42">
        <v>1098</v>
      </c>
      <c r="E42">
        <v>0.99</v>
      </c>
      <c r="F42">
        <v>6.4</v>
      </c>
      <c r="K42">
        <v>10</v>
      </c>
      <c r="L42">
        <v>6</v>
      </c>
      <c r="M42">
        <v>0.4</v>
      </c>
      <c r="N42">
        <v>360</v>
      </c>
      <c r="O42">
        <v>293.14999999999998</v>
      </c>
      <c r="P42">
        <v>1.63</v>
      </c>
      <c r="Q42">
        <v>20.925000000000001</v>
      </c>
      <c r="R42" t="s">
        <v>183</v>
      </c>
      <c r="S42" t="s">
        <v>210</v>
      </c>
    </row>
    <row r="43" spans="1:19" x14ac:dyDescent="0.3">
      <c r="A43" t="s">
        <v>121</v>
      </c>
      <c r="B43" t="s">
        <v>89</v>
      </c>
      <c r="C43" t="s">
        <v>202</v>
      </c>
      <c r="D43">
        <v>1098</v>
      </c>
      <c r="E43">
        <v>0.99</v>
      </c>
      <c r="F43">
        <v>6.4</v>
      </c>
      <c r="K43">
        <v>10</v>
      </c>
      <c r="L43">
        <v>6</v>
      </c>
      <c r="M43">
        <v>0.4</v>
      </c>
      <c r="N43">
        <v>360</v>
      </c>
      <c r="O43">
        <v>293.14999999999998</v>
      </c>
      <c r="P43">
        <v>3.22</v>
      </c>
      <c r="Q43">
        <v>16.95</v>
      </c>
      <c r="R43" t="s">
        <v>183</v>
      </c>
      <c r="S43" t="s">
        <v>211</v>
      </c>
    </row>
    <row r="44" spans="1:19" x14ac:dyDescent="0.3">
      <c r="A44" t="s">
        <v>121</v>
      </c>
      <c r="B44" t="s">
        <v>167</v>
      </c>
      <c r="C44" t="s">
        <v>202</v>
      </c>
      <c r="D44">
        <v>1098</v>
      </c>
      <c r="E44">
        <v>0.99</v>
      </c>
      <c r="F44">
        <v>6.4</v>
      </c>
      <c r="K44">
        <v>10</v>
      </c>
      <c r="L44">
        <v>6</v>
      </c>
      <c r="M44">
        <v>0.4</v>
      </c>
      <c r="N44">
        <v>360</v>
      </c>
      <c r="O44">
        <v>293.14999999999998</v>
      </c>
      <c r="P44">
        <v>1.82</v>
      </c>
      <c r="Q44">
        <v>20.45</v>
      </c>
      <c r="R44" t="s">
        <v>183</v>
      </c>
      <c r="S44" t="s">
        <v>212</v>
      </c>
    </row>
    <row r="45" spans="1:19" x14ac:dyDescent="0.3">
      <c r="A45" t="s">
        <v>121</v>
      </c>
      <c r="B45" t="s">
        <v>167</v>
      </c>
      <c r="C45" t="s">
        <v>202</v>
      </c>
      <c r="D45">
        <v>1098</v>
      </c>
      <c r="E45">
        <v>0.99</v>
      </c>
      <c r="F45">
        <v>6.4</v>
      </c>
      <c r="K45">
        <v>10</v>
      </c>
      <c r="L45">
        <v>6</v>
      </c>
      <c r="M45">
        <v>0.4</v>
      </c>
      <c r="N45">
        <v>360</v>
      </c>
      <c r="O45">
        <v>293.14999999999998</v>
      </c>
      <c r="P45">
        <v>2.09</v>
      </c>
      <c r="Q45">
        <v>19.774999999999999</v>
      </c>
      <c r="R45" t="s">
        <v>183</v>
      </c>
      <c r="S45" t="s">
        <v>213</v>
      </c>
    </row>
    <row r="46" spans="1:19" x14ac:dyDescent="0.3">
      <c r="A46" t="s">
        <v>121</v>
      </c>
      <c r="B46" t="s">
        <v>167</v>
      </c>
      <c r="C46" t="s">
        <v>202</v>
      </c>
      <c r="D46">
        <v>1098</v>
      </c>
      <c r="E46">
        <v>0.99</v>
      </c>
      <c r="F46">
        <v>6.4</v>
      </c>
      <c r="K46">
        <v>10</v>
      </c>
      <c r="L46">
        <v>6</v>
      </c>
      <c r="M46">
        <v>0.4</v>
      </c>
      <c r="N46">
        <v>360</v>
      </c>
      <c r="O46">
        <v>293.14999999999998</v>
      </c>
      <c r="P46">
        <v>2.1800000000000002</v>
      </c>
      <c r="Q46">
        <v>19.55</v>
      </c>
      <c r="R46" t="s">
        <v>183</v>
      </c>
      <c r="S46" t="s">
        <v>214</v>
      </c>
    </row>
    <row r="47" spans="1:19" x14ac:dyDescent="0.3">
      <c r="A47" t="s">
        <v>121</v>
      </c>
      <c r="B47" t="s">
        <v>167</v>
      </c>
      <c r="C47" t="s">
        <v>202</v>
      </c>
      <c r="D47">
        <v>1098</v>
      </c>
      <c r="E47">
        <v>0.99</v>
      </c>
      <c r="F47">
        <v>6.4</v>
      </c>
      <c r="K47">
        <v>10</v>
      </c>
      <c r="L47">
        <v>6</v>
      </c>
      <c r="M47">
        <v>0.4</v>
      </c>
      <c r="N47">
        <v>360</v>
      </c>
      <c r="O47">
        <v>293.14999999999998</v>
      </c>
      <c r="P47">
        <v>2.92</v>
      </c>
      <c r="Q47">
        <v>17.7</v>
      </c>
      <c r="R47" t="s">
        <v>183</v>
      </c>
      <c r="S47" t="s">
        <v>215</v>
      </c>
    </row>
    <row r="48" spans="1:19" x14ac:dyDescent="0.3">
      <c r="A48" t="s">
        <v>121</v>
      </c>
      <c r="B48" t="s">
        <v>167</v>
      </c>
      <c r="C48" t="s">
        <v>202</v>
      </c>
      <c r="D48">
        <v>1098</v>
      </c>
      <c r="E48">
        <v>0.99</v>
      </c>
      <c r="F48">
        <v>6.4</v>
      </c>
      <c r="K48">
        <v>10</v>
      </c>
      <c r="L48">
        <v>6</v>
      </c>
      <c r="M48">
        <v>0.4</v>
      </c>
      <c r="N48">
        <v>360</v>
      </c>
      <c r="O48">
        <v>293.14999999999998</v>
      </c>
      <c r="P48">
        <v>3.63</v>
      </c>
      <c r="Q48">
        <v>15.925000000000001</v>
      </c>
      <c r="R48" t="s">
        <v>183</v>
      </c>
      <c r="S48" t="s">
        <v>216</v>
      </c>
    </row>
    <row r="49" spans="1:19" x14ac:dyDescent="0.3">
      <c r="A49" t="s">
        <v>123</v>
      </c>
      <c r="B49" t="s">
        <v>167</v>
      </c>
      <c r="C49" t="s">
        <v>217</v>
      </c>
      <c r="D49">
        <v>875.38</v>
      </c>
      <c r="E49">
        <v>0.64900000000000002</v>
      </c>
      <c r="F49">
        <v>9.15</v>
      </c>
      <c r="G49">
        <v>49</v>
      </c>
      <c r="H49">
        <v>2.5</v>
      </c>
      <c r="I49">
        <v>20.34</v>
      </c>
      <c r="J49">
        <v>1.3</v>
      </c>
      <c r="L49">
        <v>5</v>
      </c>
      <c r="M49">
        <v>5</v>
      </c>
      <c r="N49">
        <v>1440</v>
      </c>
      <c r="O49">
        <v>293.14999999999998</v>
      </c>
      <c r="Q49">
        <v>28.72</v>
      </c>
      <c r="R49" t="s">
        <v>185</v>
      </c>
      <c r="S49" t="s">
        <v>218</v>
      </c>
    </row>
    <row r="50" spans="1:19" x14ac:dyDescent="0.3">
      <c r="A50" t="s">
        <v>123</v>
      </c>
      <c r="B50" t="s">
        <v>89</v>
      </c>
      <c r="C50" t="s">
        <v>217</v>
      </c>
      <c r="D50">
        <v>875.38</v>
      </c>
      <c r="E50">
        <v>0.64900000000000002</v>
      </c>
      <c r="F50">
        <v>9.15</v>
      </c>
      <c r="G50">
        <v>49</v>
      </c>
      <c r="H50">
        <v>2.5</v>
      </c>
      <c r="I50">
        <v>20.34</v>
      </c>
      <c r="J50">
        <v>1.3</v>
      </c>
      <c r="L50">
        <v>5</v>
      </c>
      <c r="M50">
        <v>5</v>
      </c>
      <c r="N50">
        <v>1440</v>
      </c>
      <c r="O50">
        <v>293.14999999999998</v>
      </c>
      <c r="Q50">
        <v>64.23</v>
      </c>
      <c r="R50" t="s">
        <v>185</v>
      </c>
      <c r="S50" t="s">
        <v>218</v>
      </c>
    </row>
    <row r="51" spans="1:19" x14ac:dyDescent="0.3">
      <c r="A51" t="s">
        <v>123</v>
      </c>
      <c r="B51" t="s">
        <v>167</v>
      </c>
      <c r="C51" t="s">
        <v>217</v>
      </c>
      <c r="D51">
        <v>875.38</v>
      </c>
      <c r="E51">
        <v>0.64900000000000002</v>
      </c>
      <c r="F51">
        <v>9.15</v>
      </c>
      <c r="G51">
        <v>49</v>
      </c>
      <c r="H51">
        <v>2.5</v>
      </c>
      <c r="I51">
        <v>20.34</v>
      </c>
      <c r="J51">
        <v>1.3</v>
      </c>
      <c r="K51">
        <v>50</v>
      </c>
      <c r="L51">
        <v>5</v>
      </c>
      <c r="M51">
        <v>5</v>
      </c>
      <c r="N51">
        <v>120</v>
      </c>
      <c r="O51">
        <v>293.14999999999998</v>
      </c>
      <c r="Q51">
        <v>9.98</v>
      </c>
      <c r="R51" t="s">
        <v>185</v>
      </c>
      <c r="S51" t="s">
        <v>219</v>
      </c>
    </row>
    <row r="52" spans="1:19" x14ac:dyDescent="0.3">
      <c r="A52" t="s">
        <v>123</v>
      </c>
      <c r="B52" t="s">
        <v>89</v>
      </c>
      <c r="C52" t="s">
        <v>217</v>
      </c>
      <c r="D52">
        <v>875.38</v>
      </c>
      <c r="E52">
        <v>0.64900000000000002</v>
      </c>
      <c r="F52">
        <v>9.15</v>
      </c>
      <c r="G52">
        <v>49</v>
      </c>
      <c r="H52">
        <v>2.5</v>
      </c>
      <c r="I52">
        <v>20.34</v>
      </c>
      <c r="J52">
        <v>1.3</v>
      </c>
      <c r="K52">
        <v>50</v>
      </c>
      <c r="L52">
        <v>5</v>
      </c>
      <c r="M52">
        <v>5</v>
      </c>
      <c r="N52">
        <v>120</v>
      </c>
      <c r="O52">
        <v>293.14999999999998</v>
      </c>
      <c r="Q52">
        <v>9.9700000000000006</v>
      </c>
      <c r="R52" t="s">
        <v>185</v>
      </c>
      <c r="S52" t="s">
        <v>219</v>
      </c>
    </row>
    <row r="53" spans="1:19" x14ac:dyDescent="0.3">
      <c r="A53" t="s">
        <v>125</v>
      </c>
      <c r="B53" t="s">
        <v>89</v>
      </c>
      <c r="C53" t="s">
        <v>220</v>
      </c>
      <c r="D53">
        <v>1201</v>
      </c>
      <c r="E53">
        <v>0.83499999999999996</v>
      </c>
      <c r="F53">
        <v>6</v>
      </c>
      <c r="K53">
        <v>10</v>
      </c>
      <c r="L53">
        <v>4</v>
      </c>
      <c r="M53">
        <v>2</v>
      </c>
      <c r="N53">
        <v>60</v>
      </c>
      <c r="O53">
        <v>303.14999999999998</v>
      </c>
      <c r="P53">
        <v>0.23</v>
      </c>
      <c r="Q53">
        <v>4.8849999999999998</v>
      </c>
      <c r="R53" t="s">
        <v>183</v>
      </c>
      <c r="S53" t="s">
        <v>221</v>
      </c>
    </row>
    <row r="54" spans="1:19" x14ac:dyDescent="0.3">
      <c r="A54" t="s">
        <v>125</v>
      </c>
      <c r="B54" t="s">
        <v>89</v>
      </c>
      <c r="C54" t="s">
        <v>220</v>
      </c>
      <c r="D54">
        <v>1201</v>
      </c>
      <c r="E54">
        <v>0.83499999999999996</v>
      </c>
      <c r="F54">
        <v>6</v>
      </c>
      <c r="K54">
        <v>20</v>
      </c>
      <c r="L54">
        <v>4</v>
      </c>
      <c r="M54">
        <v>2</v>
      </c>
      <c r="N54">
        <v>60</v>
      </c>
      <c r="O54">
        <v>303.14999999999998</v>
      </c>
      <c r="P54">
        <v>0.45</v>
      </c>
      <c r="Q54">
        <v>9.7750000000000004</v>
      </c>
      <c r="R54" t="s">
        <v>183</v>
      </c>
      <c r="S54" t="s">
        <v>221</v>
      </c>
    </row>
    <row r="55" spans="1:19" x14ac:dyDescent="0.3">
      <c r="A55" t="s">
        <v>125</v>
      </c>
      <c r="B55" t="s">
        <v>89</v>
      </c>
      <c r="C55" t="s">
        <v>220</v>
      </c>
      <c r="D55">
        <v>1201</v>
      </c>
      <c r="E55">
        <v>0.83499999999999996</v>
      </c>
      <c r="F55">
        <v>6</v>
      </c>
      <c r="K55">
        <v>40</v>
      </c>
      <c r="L55">
        <v>4</v>
      </c>
      <c r="M55">
        <v>2</v>
      </c>
      <c r="N55">
        <v>60</v>
      </c>
      <c r="O55">
        <v>303.14999999999998</v>
      </c>
      <c r="P55">
        <v>0.89</v>
      </c>
      <c r="Q55">
        <v>19.555</v>
      </c>
      <c r="R55" t="s">
        <v>183</v>
      </c>
      <c r="S55" t="s">
        <v>221</v>
      </c>
    </row>
    <row r="56" spans="1:19" x14ac:dyDescent="0.3">
      <c r="A56" t="s">
        <v>125</v>
      </c>
      <c r="B56" t="s">
        <v>89</v>
      </c>
      <c r="C56" t="s">
        <v>220</v>
      </c>
      <c r="D56">
        <v>1201</v>
      </c>
      <c r="E56">
        <v>0.83499999999999996</v>
      </c>
      <c r="F56">
        <v>6</v>
      </c>
      <c r="K56">
        <v>60</v>
      </c>
      <c r="L56">
        <v>4</v>
      </c>
      <c r="M56">
        <v>2</v>
      </c>
      <c r="N56">
        <v>60</v>
      </c>
      <c r="O56">
        <v>303.14999999999998</v>
      </c>
      <c r="P56">
        <v>1.32</v>
      </c>
      <c r="Q56">
        <v>29.34</v>
      </c>
      <c r="R56" t="s">
        <v>183</v>
      </c>
      <c r="S56" t="s">
        <v>221</v>
      </c>
    </row>
    <row r="57" spans="1:19" x14ac:dyDescent="0.3">
      <c r="A57" t="s">
        <v>125</v>
      </c>
      <c r="B57" t="s">
        <v>89</v>
      </c>
      <c r="C57" t="s">
        <v>220</v>
      </c>
      <c r="D57">
        <v>1201</v>
      </c>
      <c r="E57">
        <v>0.83499999999999996</v>
      </c>
      <c r="F57">
        <v>6</v>
      </c>
      <c r="K57">
        <v>80</v>
      </c>
      <c r="L57">
        <v>4</v>
      </c>
      <c r="M57">
        <v>2</v>
      </c>
      <c r="N57">
        <v>60</v>
      </c>
      <c r="O57">
        <v>303.14999999999998</v>
      </c>
      <c r="P57">
        <v>1.75</v>
      </c>
      <c r="Q57">
        <v>39.125</v>
      </c>
      <c r="R57" t="s">
        <v>183</v>
      </c>
      <c r="S57" t="s">
        <v>221</v>
      </c>
    </row>
    <row r="58" spans="1:19" x14ac:dyDescent="0.3">
      <c r="A58" t="s">
        <v>125</v>
      </c>
      <c r="B58" t="s">
        <v>89</v>
      </c>
      <c r="C58" t="s">
        <v>220</v>
      </c>
      <c r="D58">
        <v>1201</v>
      </c>
      <c r="E58">
        <v>0.83499999999999996</v>
      </c>
      <c r="F58">
        <v>6</v>
      </c>
      <c r="K58">
        <v>100</v>
      </c>
      <c r="L58">
        <v>4</v>
      </c>
      <c r="M58">
        <v>2</v>
      </c>
      <c r="N58">
        <v>60</v>
      </c>
      <c r="O58">
        <v>303.14999999999998</v>
      </c>
      <c r="P58">
        <v>2.14</v>
      </c>
      <c r="Q58">
        <v>48.93</v>
      </c>
      <c r="R58" t="s">
        <v>183</v>
      </c>
      <c r="S58" t="s">
        <v>221</v>
      </c>
    </row>
    <row r="59" spans="1:19" x14ac:dyDescent="0.3">
      <c r="A59" t="s">
        <v>125</v>
      </c>
      <c r="B59" t="s">
        <v>89</v>
      </c>
      <c r="C59" t="s">
        <v>220</v>
      </c>
      <c r="D59">
        <v>1201</v>
      </c>
      <c r="E59">
        <v>0.83499999999999996</v>
      </c>
      <c r="F59">
        <v>6</v>
      </c>
      <c r="K59">
        <v>150</v>
      </c>
      <c r="L59">
        <v>4</v>
      </c>
      <c r="M59">
        <v>2</v>
      </c>
      <c r="N59">
        <v>60</v>
      </c>
      <c r="O59">
        <v>303.14999999999998</v>
      </c>
      <c r="P59">
        <v>7.36</v>
      </c>
      <c r="Q59">
        <v>71.319999999999993</v>
      </c>
      <c r="R59" t="s">
        <v>183</v>
      </c>
      <c r="S59" t="s">
        <v>221</v>
      </c>
    </row>
    <row r="60" spans="1:19" x14ac:dyDescent="0.3">
      <c r="A60" t="s">
        <v>125</v>
      </c>
      <c r="B60" t="s">
        <v>89</v>
      </c>
      <c r="C60" t="s">
        <v>220</v>
      </c>
      <c r="D60">
        <v>1201</v>
      </c>
      <c r="E60">
        <v>0.83499999999999996</v>
      </c>
      <c r="F60">
        <v>6</v>
      </c>
      <c r="K60">
        <v>200</v>
      </c>
      <c r="L60">
        <v>4</v>
      </c>
      <c r="M60">
        <v>2</v>
      </c>
      <c r="N60">
        <v>60</v>
      </c>
      <c r="O60">
        <v>303.14999999999998</v>
      </c>
      <c r="P60">
        <v>14.6</v>
      </c>
      <c r="Q60">
        <v>92.7</v>
      </c>
      <c r="R60" t="s">
        <v>183</v>
      </c>
      <c r="S60" t="s">
        <v>221</v>
      </c>
    </row>
    <row r="61" spans="1:19" x14ac:dyDescent="0.3">
      <c r="A61" t="s">
        <v>125</v>
      </c>
      <c r="B61" t="s">
        <v>89</v>
      </c>
      <c r="C61" t="s">
        <v>220</v>
      </c>
      <c r="D61">
        <v>1201</v>
      </c>
      <c r="E61">
        <v>0.83499999999999996</v>
      </c>
      <c r="F61">
        <v>6</v>
      </c>
      <c r="K61">
        <v>250</v>
      </c>
      <c r="L61">
        <v>4</v>
      </c>
      <c r="M61">
        <v>2</v>
      </c>
      <c r="N61">
        <v>60</v>
      </c>
      <c r="O61">
        <v>303.14999999999998</v>
      </c>
      <c r="P61">
        <v>32.4</v>
      </c>
      <c r="Q61">
        <v>108.8</v>
      </c>
      <c r="R61" t="s">
        <v>183</v>
      </c>
      <c r="S61" t="s">
        <v>221</v>
      </c>
    </row>
    <row r="62" spans="1:19" x14ac:dyDescent="0.3">
      <c r="A62" t="s">
        <v>125</v>
      </c>
      <c r="B62" t="s">
        <v>89</v>
      </c>
      <c r="C62" t="s">
        <v>220</v>
      </c>
      <c r="D62">
        <v>1201</v>
      </c>
      <c r="E62">
        <v>0.83499999999999996</v>
      </c>
      <c r="F62">
        <v>6</v>
      </c>
      <c r="K62">
        <v>100</v>
      </c>
      <c r="L62">
        <v>4</v>
      </c>
      <c r="M62">
        <v>2</v>
      </c>
      <c r="N62">
        <v>60</v>
      </c>
      <c r="O62">
        <v>303.14999999999998</v>
      </c>
      <c r="Q62">
        <v>1826.08</v>
      </c>
      <c r="R62" t="s">
        <v>185</v>
      </c>
      <c r="S62" t="s">
        <v>222</v>
      </c>
    </row>
    <row r="63" spans="1:19" x14ac:dyDescent="0.3">
      <c r="A63" t="s">
        <v>155</v>
      </c>
      <c r="B63" t="s">
        <v>167</v>
      </c>
      <c r="C63" t="s">
        <v>223</v>
      </c>
      <c r="D63">
        <v>336.339</v>
      </c>
      <c r="E63">
        <v>0.26885799999999999</v>
      </c>
      <c r="G63">
        <v>90.8</v>
      </c>
      <c r="H63">
        <v>4.2</v>
      </c>
      <c r="I63">
        <v>5.0999999999999996</v>
      </c>
      <c r="J63">
        <v>1.6</v>
      </c>
      <c r="L63">
        <v>7</v>
      </c>
      <c r="M63">
        <v>4</v>
      </c>
      <c r="N63">
        <v>30</v>
      </c>
      <c r="O63">
        <v>298.14999999999998</v>
      </c>
      <c r="Q63">
        <v>309.24</v>
      </c>
      <c r="R63" t="s">
        <v>185</v>
      </c>
      <c r="S63" t="s">
        <v>224</v>
      </c>
    </row>
    <row r="64" spans="1:19" x14ac:dyDescent="0.3">
      <c r="A64" t="s">
        <v>155</v>
      </c>
      <c r="B64" t="s">
        <v>167</v>
      </c>
      <c r="C64" t="s">
        <v>225</v>
      </c>
      <c r="D64">
        <v>498.38600000000002</v>
      </c>
      <c r="E64">
        <v>0.374884</v>
      </c>
      <c r="G64">
        <v>93.1</v>
      </c>
      <c r="H64">
        <v>5.5</v>
      </c>
      <c r="I64">
        <v>4.9000000000000004</v>
      </c>
      <c r="J64">
        <v>2.1</v>
      </c>
      <c r="L64">
        <v>7</v>
      </c>
      <c r="M64">
        <v>4</v>
      </c>
      <c r="N64">
        <v>30</v>
      </c>
      <c r="O64">
        <v>298.14999999999998</v>
      </c>
      <c r="Q64">
        <v>329.62</v>
      </c>
      <c r="R64" t="s">
        <v>185</v>
      </c>
      <c r="S64" t="s">
        <v>226</v>
      </c>
    </row>
    <row r="65" spans="1:19" x14ac:dyDescent="0.3">
      <c r="A65" t="s">
        <v>155</v>
      </c>
      <c r="B65" t="s">
        <v>89</v>
      </c>
      <c r="C65" t="s">
        <v>223</v>
      </c>
      <c r="D65">
        <v>336.339</v>
      </c>
      <c r="E65">
        <v>0.26885799999999999</v>
      </c>
      <c r="G65">
        <v>90.8</v>
      </c>
      <c r="H65">
        <v>4.2</v>
      </c>
      <c r="I65">
        <v>5.0999999999999996</v>
      </c>
      <c r="J65">
        <v>1.6</v>
      </c>
      <c r="L65">
        <v>7</v>
      </c>
      <c r="M65">
        <v>4</v>
      </c>
      <c r="N65">
        <v>30</v>
      </c>
      <c r="O65">
        <v>298.14999999999998</v>
      </c>
      <c r="Q65">
        <v>318.45999999999998</v>
      </c>
      <c r="R65" t="s">
        <v>185</v>
      </c>
      <c r="S65" t="s">
        <v>224</v>
      </c>
    </row>
    <row r="66" spans="1:19" x14ac:dyDescent="0.3">
      <c r="A66" t="s">
        <v>155</v>
      </c>
      <c r="B66" t="s">
        <v>89</v>
      </c>
      <c r="C66" t="s">
        <v>225</v>
      </c>
      <c r="D66">
        <v>498.38600000000002</v>
      </c>
      <c r="E66">
        <v>0.374884</v>
      </c>
      <c r="G66">
        <v>93.1</v>
      </c>
      <c r="H66">
        <v>5.5</v>
      </c>
      <c r="I66">
        <v>4.9000000000000004</v>
      </c>
      <c r="J66">
        <v>2.1</v>
      </c>
      <c r="L66">
        <v>7</v>
      </c>
      <c r="M66">
        <v>4</v>
      </c>
      <c r="N66">
        <v>30</v>
      </c>
      <c r="O66">
        <v>298.14999999999998</v>
      </c>
      <c r="Q66">
        <v>339.61</v>
      </c>
      <c r="R66" t="s">
        <v>185</v>
      </c>
      <c r="S66" t="s">
        <v>226</v>
      </c>
    </row>
    <row r="67" spans="1:19" x14ac:dyDescent="0.3">
      <c r="A67" t="s">
        <v>162</v>
      </c>
      <c r="B67" t="s">
        <v>167</v>
      </c>
      <c r="C67" t="s">
        <v>229</v>
      </c>
      <c r="D67">
        <v>919.44100000000003</v>
      </c>
      <c r="E67">
        <v>0.58499999999999996</v>
      </c>
      <c r="K67">
        <v>100</v>
      </c>
      <c r="L67">
        <v>7</v>
      </c>
      <c r="M67">
        <v>0.1</v>
      </c>
      <c r="N67">
        <v>200</v>
      </c>
      <c r="P67">
        <v>520</v>
      </c>
      <c r="Q67" t="s">
        <v>200</v>
      </c>
      <c r="R67" t="s">
        <v>227</v>
      </c>
    </row>
    <row r="68" spans="1:19" x14ac:dyDescent="0.3">
      <c r="A68" t="s">
        <v>170</v>
      </c>
      <c r="B68" t="s">
        <v>167</v>
      </c>
      <c r="C68" t="s">
        <v>230</v>
      </c>
      <c r="D68">
        <v>136.02000000000001</v>
      </c>
      <c r="E68">
        <v>0.10979999999999999</v>
      </c>
      <c r="F68">
        <v>10.01</v>
      </c>
      <c r="G68">
        <v>86</v>
      </c>
      <c r="H68">
        <v>4.2</v>
      </c>
      <c r="I68">
        <v>9.4</v>
      </c>
      <c r="J68">
        <v>0.3</v>
      </c>
      <c r="K68">
        <v>1</v>
      </c>
      <c r="L68">
        <v>7</v>
      </c>
      <c r="M68">
        <v>2</v>
      </c>
      <c r="N68">
        <v>1440</v>
      </c>
      <c r="O68">
        <v>301.14999999999998</v>
      </c>
      <c r="Q68">
        <v>0.47199999999999998</v>
      </c>
      <c r="R68" t="s">
        <v>185</v>
      </c>
      <c r="S68" t="s">
        <v>228</v>
      </c>
    </row>
    <row r="69" spans="1:19" x14ac:dyDescent="0.3">
      <c r="A69" t="s">
        <v>170</v>
      </c>
      <c r="B69" t="s">
        <v>89</v>
      </c>
      <c r="C69" t="s">
        <v>230</v>
      </c>
      <c r="D69">
        <v>136.02000000000001</v>
      </c>
      <c r="E69">
        <v>0.10979999999999999</v>
      </c>
      <c r="F69">
        <v>10.01</v>
      </c>
      <c r="G69">
        <v>86</v>
      </c>
      <c r="H69">
        <v>4.2</v>
      </c>
      <c r="I69">
        <v>9.4</v>
      </c>
      <c r="J69">
        <v>0.3</v>
      </c>
      <c r="K69">
        <v>1</v>
      </c>
      <c r="L69">
        <v>7</v>
      </c>
      <c r="M69">
        <v>2</v>
      </c>
      <c r="N69">
        <v>1440</v>
      </c>
      <c r="O69">
        <v>301.14999999999998</v>
      </c>
      <c r="Q69">
        <v>0.49</v>
      </c>
      <c r="R69" t="s">
        <v>185</v>
      </c>
      <c r="S69" t="s">
        <v>228</v>
      </c>
    </row>
    <row r="70" spans="1:19" x14ac:dyDescent="0.3">
      <c r="A70" t="s">
        <v>231</v>
      </c>
      <c r="B70" t="s">
        <v>167</v>
      </c>
      <c r="C70" t="s">
        <v>264</v>
      </c>
      <c r="D70">
        <v>615</v>
      </c>
      <c r="F70">
        <v>3.7</v>
      </c>
      <c r="K70">
        <v>5</v>
      </c>
      <c r="L70">
        <v>2.5</v>
      </c>
      <c r="M70">
        <v>30</v>
      </c>
      <c r="N70">
        <v>298.14999999999998</v>
      </c>
      <c r="P70">
        <v>25.54598</v>
      </c>
      <c r="Q70" t="s">
        <v>185</v>
      </c>
      <c r="R70" t="s">
        <v>265</v>
      </c>
    </row>
    <row r="71" spans="1:19" x14ac:dyDescent="0.3">
      <c r="A71" t="s">
        <v>239</v>
      </c>
      <c r="B71" t="s">
        <v>167</v>
      </c>
      <c r="C71" t="s">
        <v>266</v>
      </c>
      <c r="D71">
        <v>1498</v>
      </c>
      <c r="E71">
        <v>0.94</v>
      </c>
      <c r="F71">
        <v>2.8</v>
      </c>
      <c r="G71">
        <v>35.229999999999997</v>
      </c>
      <c r="H71">
        <v>4.4800000000000004</v>
      </c>
      <c r="I71">
        <v>59.82</v>
      </c>
      <c r="J71">
        <v>0.47</v>
      </c>
      <c r="K71">
        <v>10</v>
      </c>
      <c r="L71">
        <v>5.6</v>
      </c>
      <c r="M71">
        <v>0.5</v>
      </c>
      <c r="N71">
        <v>360</v>
      </c>
      <c r="O71">
        <v>303</v>
      </c>
      <c r="Q71">
        <v>1.706</v>
      </c>
      <c r="R71" t="s">
        <v>185</v>
      </c>
      <c r="S71" t="s">
        <v>267</v>
      </c>
    </row>
    <row r="72" spans="1:19" x14ac:dyDescent="0.3">
      <c r="A72" t="s">
        <v>239</v>
      </c>
      <c r="B72" t="s">
        <v>167</v>
      </c>
      <c r="C72" t="s">
        <v>266</v>
      </c>
      <c r="D72">
        <v>1498</v>
      </c>
      <c r="E72">
        <v>0.94</v>
      </c>
      <c r="F72">
        <v>2.8</v>
      </c>
      <c r="G72">
        <v>35.229999999999997</v>
      </c>
      <c r="H72">
        <v>4.4800000000000004</v>
      </c>
      <c r="I72">
        <v>59.82</v>
      </c>
      <c r="J72">
        <v>0.47</v>
      </c>
      <c r="K72">
        <v>20</v>
      </c>
      <c r="L72">
        <v>5.6</v>
      </c>
      <c r="M72">
        <v>0.5</v>
      </c>
      <c r="N72">
        <v>360</v>
      </c>
      <c r="O72">
        <v>303</v>
      </c>
      <c r="Q72">
        <v>3.3519999999999999</v>
      </c>
      <c r="R72" t="s">
        <v>185</v>
      </c>
      <c r="S72" t="s">
        <v>267</v>
      </c>
    </row>
    <row r="73" spans="1:19" x14ac:dyDescent="0.3">
      <c r="A73" t="s">
        <v>239</v>
      </c>
      <c r="B73" t="s">
        <v>167</v>
      </c>
      <c r="C73" t="s">
        <v>266</v>
      </c>
      <c r="D73">
        <v>1498</v>
      </c>
      <c r="E73">
        <v>0.94</v>
      </c>
      <c r="F73">
        <v>2.8</v>
      </c>
      <c r="G73">
        <v>35.229999999999997</v>
      </c>
      <c r="H73">
        <v>4.4800000000000004</v>
      </c>
      <c r="I73">
        <v>59.82</v>
      </c>
      <c r="J73">
        <v>0.47</v>
      </c>
      <c r="K73">
        <v>30</v>
      </c>
      <c r="L73">
        <v>5.6</v>
      </c>
      <c r="M73">
        <v>0.5</v>
      </c>
      <c r="N73">
        <v>360</v>
      </c>
      <c r="O73">
        <v>303</v>
      </c>
      <c r="Q73">
        <v>4.9189999999999996</v>
      </c>
      <c r="R73" t="s">
        <v>185</v>
      </c>
      <c r="S73" t="s">
        <v>267</v>
      </c>
    </row>
    <row r="74" spans="1:19" x14ac:dyDescent="0.3">
      <c r="A74" t="s">
        <v>239</v>
      </c>
      <c r="B74" t="s">
        <v>167</v>
      </c>
      <c r="C74" t="s">
        <v>266</v>
      </c>
      <c r="D74">
        <v>1498</v>
      </c>
      <c r="E74">
        <v>0.94</v>
      </c>
      <c r="F74">
        <v>2.8</v>
      </c>
      <c r="G74">
        <v>35.229999999999997</v>
      </c>
      <c r="H74">
        <v>4.4800000000000004</v>
      </c>
      <c r="I74">
        <v>59.82</v>
      </c>
      <c r="J74">
        <v>0.47</v>
      </c>
      <c r="K74">
        <v>40</v>
      </c>
      <c r="L74">
        <v>5.6</v>
      </c>
      <c r="M74">
        <v>0.5</v>
      </c>
      <c r="N74">
        <v>360</v>
      </c>
      <c r="O74">
        <v>303</v>
      </c>
      <c r="Q74">
        <v>7.1219999999999999</v>
      </c>
      <c r="R74" t="s">
        <v>185</v>
      </c>
      <c r="S74" t="s">
        <v>267</v>
      </c>
    </row>
    <row r="75" spans="1:19" x14ac:dyDescent="0.3">
      <c r="A75" t="s">
        <v>239</v>
      </c>
      <c r="B75" t="s">
        <v>167</v>
      </c>
      <c r="C75" t="s">
        <v>266</v>
      </c>
      <c r="D75">
        <v>1498</v>
      </c>
      <c r="E75">
        <v>0.94</v>
      </c>
      <c r="F75">
        <v>2.8</v>
      </c>
      <c r="G75">
        <v>35.229999999999997</v>
      </c>
      <c r="H75">
        <v>4.4800000000000004</v>
      </c>
      <c r="I75">
        <v>59.82</v>
      </c>
      <c r="J75">
        <v>0.47</v>
      </c>
      <c r="K75">
        <v>50</v>
      </c>
      <c r="L75">
        <v>5.6</v>
      </c>
      <c r="M75">
        <v>0.5</v>
      </c>
      <c r="N75">
        <v>360</v>
      </c>
      <c r="O75">
        <v>303</v>
      </c>
      <c r="Q75">
        <v>8.4459999999999997</v>
      </c>
      <c r="R75" t="s">
        <v>185</v>
      </c>
      <c r="S75" t="s">
        <v>267</v>
      </c>
    </row>
    <row r="76" spans="1:19" x14ac:dyDescent="0.3">
      <c r="A76" t="s">
        <v>239</v>
      </c>
      <c r="B76" t="s">
        <v>167</v>
      </c>
      <c r="C76" t="s">
        <v>266</v>
      </c>
      <c r="D76">
        <v>1498</v>
      </c>
      <c r="E76">
        <v>0.94</v>
      </c>
      <c r="F76">
        <v>2.8</v>
      </c>
      <c r="G76">
        <v>35.229999999999997</v>
      </c>
      <c r="H76">
        <v>4.4800000000000004</v>
      </c>
      <c r="I76">
        <v>59.82</v>
      </c>
      <c r="J76">
        <v>0.47</v>
      </c>
      <c r="L76">
        <v>5.6</v>
      </c>
      <c r="M76">
        <v>0.5</v>
      </c>
      <c r="N76">
        <v>360</v>
      </c>
      <c r="O76">
        <v>303</v>
      </c>
      <c r="Q76">
        <v>35.97</v>
      </c>
      <c r="R76" t="s">
        <v>185</v>
      </c>
      <c r="S76" t="s">
        <v>268</v>
      </c>
    </row>
    <row r="77" spans="1:19" x14ac:dyDescent="0.3">
      <c r="A77" t="s">
        <v>239</v>
      </c>
      <c r="B77" t="s">
        <v>167</v>
      </c>
      <c r="C77" t="s">
        <v>266</v>
      </c>
      <c r="D77">
        <v>1498</v>
      </c>
      <c r="E77">
        <v>0.94</v>
      </c>
      <c r="F77">
        <v>2.8</v>
      </c>
      <c r="G77">
        <v>35.229999999999997</v>
      </c>
      <c r="H77">
        <v>4.4800000000000004</v>
      </c>
      <c r="I77">
        <v>59.82</v>
      </c>
      <c r="J77">
        <v>0.47</v>
      </c>
      <c r="K77">
        <v>20</v>
      </c>
      <c r="L77">
        <v>2</v>
      </c>
      <c r="M77">
        <v>0.5</v>
      </c>
      <c r="O77">
        <v>303</v>
      </c>
      <c r="Q77">
        <v>1.6</v>
      </c>
      <c r="R77" t="s">
        <v>200</v>
      </c>
      <c r="S77" t="s">
        <v>269</v>
      </c>
    </row>
    <row r="78" spans="1:19" x14ac:dyDescent="0.3">
      <c r="A78" t="s">
        <v>239</v>
      </c>
      <c r="B78" t="s">
        <v>167</v>
      </c>
      <c r="C78" t="s">
        <v>266</v>
      </c>
      <c r="D78">
        <v>1498</v>
      </c>
      <c r="E78">
        <v>0.94</v>
      </c>
      <c r="F78">
        <v>2.8</v>
      </c>
      <c r="G78">
        <v>35.229999999999997</v>
      </c>
      <c r="H78">
        <v>4.4800000000000004</v>
      </c>
      <c r="I78">
        <v>59.82</v>
      </c>
      <c r="J78">
        <v>0.47</v>
      </c>
      <c r="K78">
        <v>20</v>
      </c>
      <c r="L78">
        <v>4</v>
      </c>
      <c r="M78">
        <v>0.5</v>
      </c>
      <c r="O78">
        <v>303</v>
      </c>
      <c r="Q78">
        <v>12.8</v>
      </c>
      <c r="R78" t="s">
        <v>200</v>
      </c>
      <c r="S78" t="s">
        <v>270</v>
      </c>
    </row>
    <row r="79" spans="1:19" x14ac:dyDescent="0.3">
      <c r="A79" t="s">
        <v>239</v>
      </c>
      <c r="B79" t="s">
        <v>167</v>
      </c>
      <c r="C79" t="s">
        <v>266</v>
      </c>
      <c r="D79">
        <v>1498</v>
      </c>
      <c r="E79">
        <v>0.94</v>
      </c>
      <c r="F79">
        <v>2.8</v>
      </c>
      <c r="G79">
        <v>35.229999999999997</v>
      </c>
      <c r="H79">
        <v>4.4800000000000004</v>
      </c>
      <c r="I79">
        <v>59.82</v>
      </c>
      <c r="J79">
        <v>0.47</v>
      </c>
      <c r="K79">
        <v>20</v>
      </c>
      <c r="L79">
        <v>6</v>
      </c>
      <c r="M79">
        <v>0.5</v>
      </c>
      <c r="O79">
        <v>303</v>
      </c>
      <c r="Q79">
        <v>15.6</v>
      </c>
      <c r="R79" t="s">
        <v>200</v>
      </c>
      <c r="S79" t="s">
        <v>271</v>
      </c>
    </row>
    <row r="80" spans="1:19" x14ac:dyDescent="0.3">
      <c r="A80" t="s">
        <v>239</v>
      </c>
      <c r="B80" t="s">
        <v>167</v>
      </c>
      <c r="C80" t="s">
        <v>266</v>
      </c>
      <c r="D80">
        <v>1498</v>
      </c>
      <c r="E80">
        <v>0.94</v>
      </c>
      <c r="F80">
        <v>2.8</v>
      </c>
      <c r="G80">
        <v>35.229999999999997</v>
      </c>
      <c r="H80">
        <v>4.4800000000000004</v>
      </c>
      <c r="I80">
        <v>59.82</v>
      </c>
      <c r="J80">
        <v>0.47</v>
      </c>
      <c r="K80">
        <v>20</v>
      </c>
      <c r="L80">
        <v>8</v>
      </c>
      <c r="M80">
        <v>0.5</v>
      </c>
      <c r="O80">
        <v>303</v>
      </c>
      <c r="Q80">
        <v>26.8</v>
      </c>
      <c r="R80" t="s">
        <v>200</v>
      </c>
      <c r="S80" t="s">
        <v>272</v>
      </c>
    </row>
    <row r="81" spans="1:21" x14ac:dyDescent="0.3">
      <c r="A81" t="s">
        <v>239</v>
      </c>
      <c r="B81" t="s">
        <v>167</v>
      </c>
      <c r="C81" t="s">
        <v>266</v>
      </c>
      <c r="D81">
        <v>1498</v>
      </c>
      <c r="E81">
        <v>0.94</v>
      </c>
      <c r="F81">
        <v>2.8</v>
      </c>
      <c r="G81">
        <v>35.229999999999997</v>
      </c>
      <c r="H81">
        <v>4.4800000000000004</v>
      </c>
      <c r="I81">
        <v>59.82</v>
      </c>
      <c r="J81">
        <v>0.47</v>
      </c>
      <c r="K81">
        <v>20</v>
      </c>
      <c r="L81">
        <v>10</v>
      </c>
      <c r="M81">
        <v>0.5</v>
      </c>
      <c r="O81">
        <v>303</v>
      </c>
      <c r="Q81">
        <v>34.4</v>
      </c>
      <c r="R81" t="s">
        <v>200</v>
      </c>
      <c r="S81" t="s">
        <v>273</v>
      </c>
    </row>
    <row r="82" spans="1:21" x14ac:dyDescent="0.3">
      <c r="A82" t="s">
        <v>239</v>
      </c>
      <c r="B82" t="s">
        <v>167</v>
      </c>
      <c r="C82" t="s">
        <v>266</v>
      </c>
      <c r="D82">
        <v>1498</v>
      </c>
      <c r="E82">
        <v>0.94</v>
      </c>
      <c r="F82">
        <v>2.8</v>
      </c>
      <c r="G82">
        <v>35.229999999999997</v>
      </c>
      <c r="H82">
        <v>4.4800000000000004</v>
      </c>
      <c r="I82">
        <v>59.82</v>
      </c>
      <c r="J82">
        <v>0.47</v>
      </c>
      <c r="K82">
        <v>20</v>
      </c>
      <c r="L82">
        <v>12</v>
      </c>
      <c r="M82">
        <v>0.5</v>
      </c>
      <c r="O82">
        <v>303</v>
      </c>
      <c r="Q82">
        <v>38</v>
      </c>
      <c r="R82" t="s">
        <v>200</v>
      </c>
      <c r="S82" t="s">
        <v>274</v>
      </c>
    </row>
    <row r="83" spans="1:21" x14ac:dyDescent="0.3">
      <c r="A83" t="s">
        <v>246</v>
      </c>
      <c r="B83" t="s">
        <v>167</v>
      </c>
      <c r="C83" t="s">
        <v>275</v>
      </c>
      <c r="D83">
        <v>372.42</v>
      </c>
      <c r="E83">
        <v>0.186</v>
      </c>
      <c r="K83">
        <v>8</v>
      </c>
      <c r="L83">
        <v>1</v>
      </c>
      <c r="M83">
        <v>120</v>
      </c>
      <c r="N83">
        <v>308</v>
      </c>
      <c r="P83">
        <v>200</v>
      </c>
      <c r="Q83" t="s">
        <v>185</v>
      </c>
      <c r="R83" t="s">
        <v>276</v>
      </c>
    </row>
    <row r="84" spans="1:21" x14ac:dyDescent="0.3">
      <c r="A84" t="s">
        <v>246</v>
      </c>
      <c r="B84" t="s">
        <v>167</v>
      </c>
      <c r="C84" t="s">
        <v>275</v>
      </c>
      <c r="D84">
        <v>372.42</v>
      </c>
      <c r="E84">
        <v>0.186</v>
      </c>
      <c r="K84">
        <v>8</v>
      </c>
      <c r="L84">
        <v>1</v>
      </c>
      <c r="M84">
        <v>120</v>
      </c>
      <c r="N84">
        <v>318</v>
      </c>
      <c r="P84">
        <v>333.33300000000003</v>
      </c>
      <c r="Q84" t="s">
        <v>185</v>
      </c>
      <c r="R84" t="s">
        <v>276</v>
      </c>
    </row>
    <row r="85" spans="1:21" x14ac:dyDescent="0.3">
      <c r="A85" t="s">
        <v>246</v>
      </c>
      <c r="B85" t="s">
        <v>167</v>
      </c>
      <c r="C85" t="s">
        <v>275</v>
      </c>
      <c r="D85">
        <v>372.42</v>
      </c>
      <c r="E85">
        <v>0.186</v>
      </c>
      <c r="K85">
        <v>8</v>
      </c>
      <c r="L85">
        <v>1</v>
      </c>
      <c r="M85">
        <v>120</v>
      </c>
      <c r="N85">
        <v>328</v>
      </c>
      <c r="P85">
        <v>404.858</v>
      </c>
      <c r="Q85" t="s">
        <v>185</v>
      </c>
      <c r="R85" t="s">
        <v>276</v>
      </c>
    </row>
    <row r="86" spans="1:21" x14ac:dyDescent="0.3">
      <c r="A86" t="s">
        <v>246</v>
      </c>
      <c r="B86" t="s">
        <v>167</v>
      </c>
      <c r="C86" t="s">
        <v>275</v>
      </c>
      <c r="D86">
        <v>372.42</v>
      </c>
      <c r="E86">
        <v>0.186</v>
      </c>
      <c r="J86">
        <v>50</v>
      </c>
      <c r="K86">
        <v>8</v>
      </c>
      <c r="L86">
        <v>1</v>
      </c>
      <c r="M86">
        <v>120</v>
      </c>
      <c r="N86">
        <v>308</v>
      </c>
      <c r="P86">
        <v>34.450000000000003</v>
      </c>
      <c r="Q86" t="s">
        <v>185</v>
      </c>
      <c r="R86" t="s">
        <v>277</v>
      </c>
    </row>
    <row r="87" spans="1:21" x14ac:dyDescent="0.3">
      <c r="A87" t="s">
        <v>246</v>
      </c>
      <c r="B87" t="s">
        <v>167</v>
      </c>
      <c r="C87" t="s">
        <v>275</v>
      </c>
      <c r="D87">
        <v>372.42</v>
      </c>
      <c r="E87">
        <v>0.186</v>
      </c>
      <c r="J87">
        <v>100</v>
      </c>
      <c r="K87">
        <v>8</v>
      </c>
      <c r="L87">
        <v>1</v>
      </c>
      <c r="M87">
        <v>120</v>
      </c>
      <c r="N87">
        <v>308</v>
      </c>
      <c r="P87">
        <v>70.760000000000005</v>
      </c>
      <c r="Q87" t="s">
        <v>185</v>
      </c>
      <c r="R87" t="s">
        <v>277</v>
      </c>
    </row>
    <row r="88" spans="1:21" x14ac:dyDescent="0.3">
      <c r="A88" t="s">
        <v>246</v>
      </c>
      <c r="B88" t="s">
        <v>167</v>
      </c>
      <c r="C88" t="s">
        <v>275</v>
      </c>
      <c r="D88">
        <v>372.42</v>
      </c>
      <c r="E88">
        <v>0.186</v>
      </c>
      <c r="J88">
        <v>150</v>
      </c>
      <c r="K88">
        <v>8</v>
      </c>
      <c r="L88">
        <v>1</v>
      </c>
      <c r="M88">
        <v>120</v>
      </c>
      <c r="N88">
        <v>308</v>
      </c>
      <c r="P88">
        <v>92.28</v>
      </c>
      <c r="Q88" t="s">
        <v>185</v>
      </c>
      <c r="R88" t="s">
        <v>277</v>
      </c>
    </row>
    <row r="89" spans="1:21" x14ac:dyDescent="0.3">
      <c r="A89" t="s">
        <v>252</v>
      </c>
      <c r="B89" t="s">
        <v>167</v>
      </c>
      <c r="C89" t="s">
        <v>278</v>
      </c>
      <c r="M89">
        <v>150</v>
      </c>
      <c r="N89">
        <v>6</v>
      </c>
      <c r="O89">
        <v>10</v>
      </c>
      <c r="P89">
        <v>60</v>
      </c>
      <c r="Q89">
        <v>298.14999999999998</v>
      </c>
      <c r="S89">
        <v>13.7355</v>
      </c>
      <c r="T89" t="s">
        <v>183</v>
      </c>
      <c r="U89" t="s">
        <v>279</v>
      </c>
    </row>
    <row r="90" spans="1:21" x14ac:dyDescent="0.3">
      <c r="A90" t="s">
        <v>252</v>
      </c>
      <c r="B90" t="s">
        <v>167</v>
      </c>
      <c r="C90" t="s">
        <v>278</v>
      </c>
      <c r="M90">
        <v>150</v>
      </c>
      <c r="N90">
        <v>6</v>
      </c>
      <c r="O90">
        <v>10</v>
      </c>
      <c r="P90">
        <v>60</v>
      </c>
      <c r="Q90">
        <v>298.14999999999998</v>
      </c>
      <c r="S90">
        <v>13.6815</v>
      </c>
      <c r="T90" t="s">
        <v>183</v>
      </c>
      <c r="U90" t="s">
        <v>280</v>
      </c>
    </row>
    <row r="91" spans="1:21" x14ac:dyDescent="0.3">
      <c r="A91" t="s">
        <v>258</v>
      </c>
      <c r="B91" t="s">
        <v>167</v>
      </c>
      <c r="C91" t="s">
        <v>281</v>
      </c>
      <c r="D91">
        <v>432</v>
      </c>
      <c r="E91">
        <v>0.21199999999999999</v>
      </c>
      <c r="K91">
        <v>5</v>
      </c>
      <c r="L91">
        <v>1</v>
      </c>
      <c r="M91">
        <v>360</v>
      </c>
      <c r="N91">
        <v>302.14999999999998</v>
      </c>
      <c r="P91">
        <v>24.39</v>
      </c>
      <c r="Q91" t="s">
        <v>185</v>
      </c>
      <c r="R91" t="s">
        <v>282</v>
      </c>
    </row>
    <row r="92" spans="1:21" x14ac:dyDescent="0.3">
      <c r="A92" t="s">
        <v>258</v>
      </c>
      <c r="B92" t="s">
        <v>167</v>
      </c>
      <c r="C92" t="s">
        <v>281</v>
      </c>
      <c r="D92">
        <v>432</v>
      </c>
      <c r="E92">
        <v>0.21199999999999999</v>
      </c>
      <c r="J92">
        <v>10</v>
      </c>
      <c r="K92">
        <v>5</v>
      </c>
      <c r="L92">
        <v>1</v>
      </c>
      <c r="M92">
        <v>360</v>
      </c>
      <c r="N92">
        <v>302.14999999999998</v>
      </c>
      <c r="P92">
        <v>9.7940000000000005</v>
      </c>
      <c r="Q92" t="s">
        <v>185</v>
      </c>
      <c r="R92" t="s">
        <v>283</v>
      </c>
    </row>
  </sheetData>
  <dataValidations count="2">
    <dataValidation type="list" allowBlank="1" sqref="B2:B1005" xr:uid="{00000000-0002-0000-0100-000000000000}">
      <formula1>"Pb,Cd,MB,Congo Red"</formula1>
      <formula2>0</formula2>
    </dataValidation>
    <dataValidation type="list" allowBlank="1" sqref="R2:R1005" xr:uid="{00000000-0002-0000-0100-000001000000}">
      <formula1>"table,graph,text,calculated"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B2D-2F39-4499-AAB7-FD87F89CDB32}">
  <dimension ref="A1:T70"/>
  <sheetViews>
    <sheetView tabSelected="1" workbookViewId="0">
      <selection activeCell="A71" sqref="A71"/>
    </sheetView>
  </sheetViews>
  <sheetFormatPr defaultRowHeight="14.4" x14ac:dyDescent="0.3"/>
  <cols>
    <col min="3" max="3" width="15.21875" bestFit="1" customWidth="1"/>
    <col min="4" max="5" width="9" bestFit="1" customWidth="1"/>
    <col min="6" max="6" width="7.5546875" bestFit="1" customWidth="1"/>
    <col min="7" max="8" width="6.109375" bestFit="1" customWidth="1"/>
    <col min="9" max="9" width="6.21875" bestFit="1" customWidth="1"/>
    <col min="10" max="10" width="6.109375" bestFit="1" customWidth="1"/>
    <col min="11" max="11" width="8.109375" bestFit="1" customWidth="1"/>
    <col min="12" max="12" width="5" bestFit="1" customWidth="1"/>
    <col min="13" max="13" width="8.44140625" bestFit="1" customWidth="1"/>
    <col min="14" max="14" width="8.77734375" bestFit="1" customWidth="1"/>
    <col min="15" max="15" width="7.6640625" bestFit="1" customWidth="1"/>
    <col min="16" max="16" width="8.109375" bestFit="1" customWidth="1"/>
    <col min="17" max="17" width="7.88671875" bestFit="1" customWidth="1"/>
    <col min="18" max="18" width="59.5546875" bestFit="1" customWidth="1"/>
    <col min="19" max="19" width="122.88671875" bestFit="1" customWidth="1"/>
  </cols>
  <sheetData>
    <row r="1" spans="1:19" ht="30" customHeight="1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3">
      <c r="A2" t="s">
        <v>285</v>
      </c>
      <c r="B2" t="s">
        <v>290</v>
      </c>
      <c r="C2" t="s">
        <v>323</v>
      </c>
      <c r="D2">
        <v>685</v>
      </c>
      <c r="E2">
        <v>0.3</v>
      </c>
      <c r="K2">
        <v>6.2</v>
      </c>
      <c r="L2">
        <v>1</v>
      </c>
      <c r="M2">
        <v>1440</v>
      </c>
      <c r="N2">
        <v>298.14999999999998</v>
      </c>
      <c r="P2">
        <v>62.2</v>
      </c>
      <c r="Q2" t="s">
        <v>185</v>
      </c>
      <c r="R2" t="s">
        <v>324</v>
      </c>
    </row>
    <row r="3" spans="1:19" x14ac:dyDescent="0.3">
      <c r="A3" t="s">
        <v>285</v>
      </c>
      <c r="B3" t="s">
        <v>290</v>
      </c>
      <c r="C3" t="s">
        <v>323</v>
      </c>
      <c r="D3">
        <v>831</v>
      </c>
      <c r="E3">
        <v>0.38</v>
      </c>
      <c r="K3">
        <v>6.2</v>
      </c>
      <c r="L3">
        <v>1</v>
      </c>
      <c r="M3">
        <v>1440</v>
      </c>
      <c r="N3">
        <v>298.14999999999998</v>
      </c>
      <c r="P3">
        <v>137.30000000000001</v>
      </c>
      <c r="Q3" t="s">
        <v>185</v>
      </c>
      <c r="R3" t="s">
        <v>324</v>
      </c>
    </row>
    <row r="4" spans="1:19" x14ac:dyDescent="0.3">
      <c r="A4" t="s">
        <v>285</v>
      </c>
      <c r="B4" t="s">
        <v>290</v>
      </c>
      <c r="C4" t="s">
        <v>323</v>
      </c>
      <c r="D4">
        <v>1069</v>
      </c>
      <c r="E4">
        <v>0.52</v>
      </c>
      <c r="K4">
        <v>6.2</v>
      </c>
      <c r="L4">
        <v>1</v>
      </c>
      <c r="M4">
        <v>1440</v>
      </c>
      <c r="N4">
        <v>298.14999999999998</v>
      </c>
      <c r="P4">
        <v>152.9</v>
      </c>
      <c r="Q4" t="s">
        <v>185</v>
      </c>
      <c r="R4" t="s">
        <v>324</v>
      </c>
    </row>
    <row r="5" spans="1:19" x14ac:dyDescent="0.3">
      <c r="A5" t="s">
        <v>285</v>
      </c>
      <c r="B5" t="s">
        <v>290</v>
      </c>
      <c r="C5" t="s">
        <v>323</v>
      </c>
      <c r="D5">
        <v>1669</v>
      </c>
      <c r="E5">
        <v>0.91</v>
      </c>
      <c r="K5">
        <v>6.2</v>
      </c>
      <c r="L5">
        <v>1</v>
      </c>
      <c r="M5">
        <v>1440</v>
      </c>
      <c r="N5">
        <v>298.14999999999998</v>
      </c>
      <c r="P5">
        <v>444</v>
      </c>
      <c r="Q5" t="s">
        <v>185</v>
      </c>
      <c r="R5" t="s">
        <v>324</v>
      </c>
    </row>
    <row r="6" spans="1:19" x14ac:dyDescent="0.3">
      <c r="A6" t="s">
        <v>292</v>
      </c>
      <c r="B6" t="s">
        <v>290</v>
      </c>
      <c r="C6" t="s">
        <v>325</v>
      </c>
      <c r="D6">
        <v>348.00170000000003</v>
      </c>
      <c r="E6">
        <v>0.15351799999999999</v>
      </c>
      <c r="F6">
        <v>6.03</v>
      </c>
      <c r="G6">
        <v>82.08</v>
      </c>
      <c r="I6">
        <v>15.09</v>
      </c>
      <c r="L6">
        <v>7</v>
      </c>
      <c r="M6">
        <v>2.5</v>
      </c>
      <c r="N6">
        <v>90</v>
      </c>
      <c r="O6">
        <v>298.14999999999998</v>
      </c>
      <c r="Q6">
        <v>57.47</v>
      </c>
      <c r="R6" t="s">
        <v>185</v>
      </c>
      <c r="S6" t="s">
        <v>326</v>
      </c>
    </row>
    <row r="7" spans="1:19" x14ac:dyDescent="0.3">
      <c r="A7" t="s">
        <v>292</v>
      </c>
      <c r="B7" t="s">
        <v>290</v>
      </c>
      <c r="C7" t="s">
        <v>325</v>
      </c>
      <c r="D7">
        <v>348.00170000000003</v>
      </c>
      <c r="E7">
        <v>0.15351799999999999</v>
      </c>
      <c r="F7">
        <v>6.03</v>
      </c>
      <c r="G7">
        <v>82.08</v>
      </c>
      <c r="I7">
        <v>15.09</v>
      </c>
      <c r="K7">
        <v>54.91</v>
      </c>
      <c r="L7">
        <v>7</v>
      </c>
      <c r="M7">
        <v>2.5</v>
      </c>
      <c r="N7">
        <v>60</v>
      </c>
      <c r="O7">
        <v>298.14999999999998</v>
      </c>
      <c r="Q7">
        <v>20.89</v>
      </c>
      <c r="R7" t="s">
        <v>185</v>
      </c>
      <c r="S7" t="s">
        <v>327</v>
      </c>
    </row>
    <row r="8" spans="1:19" x14ac:dyDescent="0.3">
      <c r="A8" t="s">
        <v>292</v>
      </c>
      <c r="B8" t="s">
        <v>290</v>
      </c>
      <c r="C8" t="s">
        <v>325</v>
      </c>
      <c r="D8">
        <v>348.00170000000003</v>
      </c>
      <c r="E8">
        <v>0.15351799999999999</v>
      </c>
      <c r="F8">
        <v>6.03</v>
      </c>
      <c r="G8">
        <v>82.08</v>
      </c>
      <c r="I8">
        <v>15.09</v>
      </c>
      <c r="K8">
        <v>84.65</v>
      </c>
      <c r="L8">
        <v>7</v>
      </c>
      <c r="M8">
        <v>2.5</v>
      </c>
      <c r="N8">
        <v>60</v>
      </c>
      <c r="O8">
        <v>298.14999999999998</v>
      </c>
      <c r="Q8">
        <v>30.57</v>
      </c>
      <c r="R8" t="s">
        <v>185</v>
      </c>
      <c r="S8" t="s">
        <v>327</v>
      </c>
    </row>
    <row r="9" spans="1:19" x14ac:dyDescent="0.3">
      <c r="A9" t="s">
        <v>292</v>
      </c>
      <c r="B9" t="s">
        <v>290</v>
      </c>
      <c r="C9" t="s">
        <v>325</v>
      </c>
      <c r="D9">
        <v>348.00170000000003</v>
      </c>
      <c r="E9">
        <v>0.15351799999999999</v>
      </c>
      <c r="F9">
        <v>6.03</v>
      </c>
      <c r="G9">
        <v>82.08</v>
      </c>
      <c r="I9">
        <v>15.09</v>
      </c>
      <c r="K9">
        <v>112.4</v>
      </c>
      <c r="L9">
        <v>7</v>
      </c>
      <c r="M9">
        <v>2.5</v>
      </c>
      <c r="N9">
        <v>60</v>
      </c>
      <c r="O9">
        <v>298.14999999999998</v>
      </c>
      <c r="Q9">
        <v>32.6</v>
      </c>
      <c r="R9" t="s">
        <v>185</v>
      </c>
      <c r="S9" t="s">
        <v>327</v>
      </c>
    </row>
    <row r="10" spans="1:19" x14ac:dyDescent="0.3">
      <c r="A10" t="s">
        <v>297</v>
      </c>
      <c r="B10" t="s">
        <v>290</v>
      </c>
      <c r="C10" t="s">
        <v>328</v>
      </c>
      <c r="D10">
        <v>339.6</v>
      </c>
      <c r="E10">
        <v>0.16</v>
      </c>
      <c r="F10">
        <v>7.7</v>
      </c>
      <c r="G10">
        <v>90.48</v>
      </c>
      <c r="I10">
        <v>3.81</v>
      </c>
      <c r="J10">
        <v>2.2400000000000002</v>
      </c>
      <c r="L10">
        <v>2</v>
      </c>
      <c r="M10">
        <v>3000</v>
      </c>
      <c r="N10">
        <v>298.14999999999998</v>
      </c>
      <c r="P10">
        <v>199.7</v>
      </c>
      <c r="Q10" t="s">
        <v>185</v>
      </c>
      <c r="R10" t="s">
        <v>329</v>
      </c>
    </row>
    <row r="11" spans="1:19" x14ac:dyDescent="0.3">
      <c r="A11" t="s">
        <v>297</v>
      </c>
      <c r="B11" t="s">
        <v>290</v>
      </c>
      <c r="C11" t="s">
        <v>328</v>
      </c>
      <c r="D11">
        <v>358.4</v>
      </c>
      <c r="E11">
        <v>0.17899999999999999</v>
      </c>
      <c r="F11">
        <v>7.5</v>
      </c>
      <c r="L11">
        <v>2</v>
      </c>
      <c r="M11">
        <v>3000</v>
      </c>
      <c r="N11">
        <v>298.14999999999998</v>
      </c>
      <c r="P11">
        <v>193.74</v>
      </c>
      <c r="Q11" t="s">
        <v>185</v>
      </c>
      <c r="R11" t="s">
        <v>330</v>
      </c>
    </row>
    <row r="12" spans="1:19" x14ac:dyDescent="0.3">
      <c r="A12" t="s">
        <v>297</v>
      </c>
      <c r="B12" t="s">
        <v>290</v>
      </c>
      <c r="C12" t="s">
        <v>328</v>
      </c>
      <c r="D12">
        <v>594</v>
      </c>
      <c r="E12">
        <v>0.35599999999999998</v>
      </c>
      <c r="F12">
        <v>8.4</v>
      </c>
      <c r="G12">
        <v>73.03</v>
      </c>
      <c r="I12">
        <v>11.28</v>
      </c>
      <c r="J12">
        <v>1.22</v>
      </c>
      <c r="L12">
        <v>2</v>
      </c>
      <c r="M12">
        <v>3000</v>
      </c>
      <c r="N12">
        <v>298.14999999999998</v>
      </c>
      <c r="P12">
        <v>194.99</v>
      </c>
      <c r="Q12" t="s">
        <v>185</v>
      </c>
      <c r="R12" t="s">
        <v>331</v>
      </c>
    </row>
    <row r="13" spans="1:19" x14ac:dyDescent="0.3">
      <c r="A13" t="s">
        <v>297</v>
      </c>
      <c r="B13" t="s">
        <v>290</v>
      </c>
      <c r="C13" t="s">
        <v>328</v>
      </c>
      <c r="D13">
        <v>600.4</v>
      </c>
      <c r="E13">
        <v>0.38</v>
      </c>
      <c r="F13">
        <v>7.6</v>
      </c>
      <c r="G13">
        <v>83.89</v>
      </c>
      <c r="I13">
        <v>6.13</v>
      </c>
      <c r="J13">
        <v>1.92</v>
      </c>
      <c r="L13">
        <v>2</v>
      </c>
      <c r="M13">
        <v>3000</v>
      </c>
      <c r="N13">
        <v>298.14999999999998</v>
      </c>
      <c r="P13">
        <v>225.31</v>
      </c>
      <c r="Q13" t="s">
        <v>185</v>
      </c>
      <c r="R13" t="s">
        <v>332</v>
      </c>
    </row>
    <row r="14" spans="1:19" x14ac:dyDescent="0.3">
      <c r="A14" t="s">
        <v>297</v>
      </c>
      <c r="B14" t="s">
        <v>290</v>
      </c>
      <c r="C14" t="s">
        <v>328</v>
      </c>
      <c r="D14">
        <v>346.7</v>
      </c>
      <c r="E14">
        <v>0.157</v>
      </c>
      <c r="F14">
        <v>8.4</v>
      </c>
      <c r="G14">
        <v>86.57</v>
      </c>
      <c r="I14">
        <v>7.08</v>
      </c>
      <c r="J14">
        <v>2.69</v>
      </c>
      <c r="L14">
        <v>2</v>
      </c>
      <c r="M14">
        <v>3000</v>
      </c>
      <c r="N14">
        <v>298.14999999999998</v>
      </c>
      <c r="P14">
        <v>194.18</v>
      </c>
      <c r="Q14" t="s">
        <v>185</v>
      </c>
      <c r="R14" t="s">
        <v>333</v>
      </c>
    </row>
    <row r="15" spans="1:19" x14ac:dyDescent="0.3">
      <c r="A15" t="s">
        <v>297</v>
      </c>
      <c r="B15" t="s">
        <v>290</v>
      </c>
      <c r="C15" t="s">
        <v>328</v>
      </c>
      <c r="D15">
        <v>393.9</v>
      </c>
      <c r="E15">
        <v>0.19700000000000001</v>
      </c>
      <c r="F15">
        <v>7.6</v>
      </c>
      <c r="L15">
        <v>2</v>
      </c>
      <c r="M15">
        <v>3000</v>
      </c>
      <c r="N15">
        <v>298.14999999999998</v>
      </c>
      <c r="P15">
        <v>200.01</v>
      </c>
      <c r="Q15" t="s">
        <v>185</v>
      </c>
      <c r="R15" t="s">
        <v>334</v>
      </c>
    </row>
    <row r="16" spans="1:19" x14ac:dyDescent="0.3">
      <c r="A16" t="s">
        <v>302</v>
      </c>
      <c r="B16" t="s">
        <v>290</v>
      </c>
      <c r="C16" t="s">
        <v>335</v>
      </c>
      <c r="D16">
        <v>1530.67</v>
      </c>
      <c r="E16">
        <v>0.78259999999999996</v>
      </c>
      <c r="F16">
        <v>6.3</v>
      </c>
      <c r="K16">
        <v>150</v>
      </c>
      <c r="L16">
        <v>7.5</v>
      </c>
      <c r="M16">
        <v>1</v>
      </c>
      <c r="N16">
        <v>180</v>
      </c>
      <c r="O16">
        <v>298.14999999999998</v>
      </c>
      <c r="Q16">
        <v>149.9</v>
      </c>
      <c r="R16" t="s">
        <v>185</v>
      </c>
      <c r="S16" t="s">
        <v>336</v>
      </c>
    </row>
    <row r="17" spans="1:19" x14ac:dyDescent="0.3">
      <c r="A17" t="s">
        <v>302</v>
      </c>
      <c r="B17" t="s">
        <v>290</v>
      </c>
      <c r="C17" t="s">
        <v>335</v>
      </c>
      <c r="D17">
        <v>1530.67</v>
      </c>
      <c r="E17">
        <v>0.78259999999999996</v>
      </c>
      <c r="F17">
        <v>6.3</v>
      </c>
      <c r="K17">
        <v>200</v>
      </c>
      <c r="L17">
        <v>7.5</v>
      </c>
      <c r="M17">
        <v>1</v>
      </c>
      <c r="N17">
        <v>180</v>
      </c>
      <c r="O17">
        <v>298.14999999999998</v>
      </c>
      <c r="Q17">
        <v>199.7</v>
      </c>
      <c r="R17" t="s">
        <v>185</v>
      </c>
      <c r="S17" t="s">
        <v>336</v>
      </c>
    </row>
    <row r="18" spans="1:19" x14ac:dyDescent="0.3">
      <c r="A18" t="s">
        <v>302</v>
      </c>
      <c r="B18" t="s">
        <v>290</v>
      </c>
      <c r="C18" t="s">
        <v>335</v>
      </c>
      <c r="D18">
        <v>1530.67</v>
      </c>
      <c r="E18">
        <v>0.78259999999999996</v>
      </c>
      <c r="F18">
        <v>6.3</v>
      </c>
      <c r="K18">
        <v>250</v>
      </c>
      <c r="L18">
        <v>7.5</v>
      </c>
      <c r="M18">
        <v>1</v>
      </c>
      <c r="N18">
        <v>180</v>
      </c>
      <c r="O18">
        <v>298.14999999999998</v>
      </c>
      <c r="Q18">
        <v>248.8</v>
      </c>
      <c r="R18" t="s">
        <v>185</v>
      </c>
      <c r="S18" t="s">
        <v>336</v>
      </c>
    </row>
    <row r="19" spans="1:19" x14ac:dyDescent="0.3">
      <c r="A19" t="s">
        <v>302</v>
      </c>
      <c r="B19" t="s">
        <v>290</v>
      </c>
      <c r="C19" t="s">
        <v>335</v>
      </c>
      <c r="D19">
        <v>1530.67</v>
      </c>
      <c r="E19">
        <v>0.78259999999999996</v>
      </c>
      <c r="F19">
        <v>6.3</v>
      </c>
      <c r="M19">
        <v>180</v>
      </c>
      <c r="N19">
        <v>298.14999999999998</v>
      </c>
      <c r="P19">
        <v>324.7</v>
      </c>
      <c r="Q19" t="s">
        <v>185</v>
      </c>
      <c r="R19" t="s">
        <v>337</v>
      </c>
    </row>
    <row r="20" spans="1:19" x14ac:dyDescent="0.3">
      <c r="A20" t="s">
        <v>307</v>
      </c>
      <c r="B20" t="s">
        <v>290</v>
      </c>
      <c r="C20" t="s">
        <v>338</v>
      </c>
      <c r="D20">
        <v>678.8</v>
      </c>
      <c r="E20">
        <v>0.34200000000000003</v>
      </c>
      <c r="K20">
        <v>100</v>
      </c>
      <c r="L20">
        <v>7</v>
      </c>
      <c r="M20">
        <v>0.5</v>
      </c>
      <c r="N20">
        <v>100</v>
      </c>
      <c r="O20">
        <v>300.14999999999998</v>
      </c>
      <c r="Q20">
        <v>93</v>
      </c>
      <c r="R20" t="s">
        <v>200</v>
      </c>
      <c r="S20" t="s">
        <v>339</v>
      </c>
    </row>
    <row r="21" spans="1:19" x14ac:dyDescent="0.3">
      <c r="A21" t="s">
        <v>312</v>
      </c>
      <c r="B21" t="s">
        <v>290</v>
      </c>
      <c r="C21" t="s">
        <v>340</v>
      </c>
      <c r="D21">
        <v>932</v>
      </c>
      <c r="E21">
        <v>0.437</v>
      </c>
      <c r="F21">
        <v>8.77</v>
      </c>
      <c r="N21">
        <v>308.14999999999998</v>
      </c>
      <c r="P21">
        <v>459.35</v>
      </c>
      <c r="Q21" t="s">
        <v>185</v>
      </c>
      <c r="R21" t="s">
        <v>341</v>
      </c>
    </row>
    <row r="22" spans="1:19" x14ac:dyDescent="0.3">
      <c r="A22" t="s">
        <v>312</v>
      </c>
      <c r="B22" t="s">
        <v>290</v>
      </c>
      <c r="C22" t="s">
        <v>340</v>
      </c>
      <c r="D22">
        <v>926</v>
      </c>
      <c r="E22">
        <v>0.442</v>
      </c>
      <c r="F22">
        <v>8.81</v>
      </c>
      <c r="N22">
        <v>308.14999999999998</v>
      </c>
      <c r="P22">
        <v>497.12</v>
      </c>
      <c r="Q22" t="s">
        <v>185</v>
      </c>
      <c r="R22" t="s">
        <v>342</v>
      </c>
    </row>
    <row r="23" spans="1:19" x14ac:dyDescent="0.3">
      <c r="A23" t="s">
        <v>312</v>
      </c>
      <c r="B23" t="s">
        <v>290</v>
      </c>
      <c r="C23" t="s">
        <v>340</v>
      </c>
      <c r="D23">
        <v>1140</v>
      </c>
      <c r="E23">
        <v>0.58699999999999997</v>
      </c>
      <c r="F23">
        <v>9.48</v>
      </c>
      <c r="N23">
        <v>308.14999999999998</v>
      </c>
      <c r="P23">
        <v>648.12</v>
      </c>
      <c r="Q23" t="s">
        <v>185</v>
      </c>
      <c r="R23" t="s">
        <v>343</v>
      </c>
    </row>
    <row r="24" spans="1:19" x14ac:dyDescent="0.3">
      <c r="A24" t="s">
        <v>312</v>
      </c>
      <c r="B24" t="s">
        <v>290</v>
      </c>
      <c r="C24" t="s">
        <v>340</v>
      </c>
      <c r="D24">
        <v>980</v>
      </c>
      <c r="E24">
        <v>0.48</v>
      </c>
      <c r="F24">
        <v>9.36</v>
      </c>
      <c r="N24">
        <v>308.14999999999998</v>
      </c>
      <c r="P24">
        <v>488.29</v>
      </c>
      <c r="Q24" t="s">
        <v>185</v>
      </c>
      <c r="R24" t="s">
        <v>344</v>
      </c>
    </row>
    <row r="25" spans="1:19" x14ac:dyDescent="0.3">
      <c r="A25" t="s">
        <v>312</v>
      </c>
      <c r="B25" t="s">
        <v>290</v>
      </c>
      <c r="C25" t="s">
        <v>340</v>
      </c>
      <c r="D25">
        <v>1271</v>
      </c>
      <c r="E25">
        <v>0.73599999999999999</v>
      </c>
      <c r="F25">
        <v>9.5399999999999991</v>
      </c>
      <c r="N25">
        <v>308.14999999999998</v>
      </c>
      <c r="P25">
        <v>714.29</v>
      </c>
      <c r="Q25" t="s">
        <v>185</v>
      </c>
      <c r="R25" t="s">
        <v>345</v>
      </c>
    </row>
    <row r="26" spans="1:19" x14ac:dyDescent="0.3">
      <c r="A26" t="s">
        <v>312</v>
      </c>
      <c r="B26" t="s">
        <v>290</v>
      </c>
      <c r="C26" t="s">
        <v>340</v>
      </c>
      <c r="D26">
        <v>1773</v>
      </c>
      <c r="E26">
        <v>1.0740000000000001</v>
      </c>
      <c r="F26">
        <v>9.94</v>
      </c>
      <c r="N26">
        <v>308.14999999999998</v>
      </c>
      <c r="P26">
        <v>1000</v>
      </c>
      <c r="Q26" t="s">
        <v>185</v>
      </c>
      <c r="R26" t="s">
        <v>346</v>
      </c>
    </row>
    <row r="27" spans="1:19" x14ac:dyDescent="0.3">
      <c r="A27" t="s">
        <v>317</v>
      </c>
      <c r="B27" t="s">
        <v>290</v>
      </c>
      <c r="C27" t="s">
        <v>347</v>
      </c>
      <c r="D27">
        <v>1540</v>
      </c>
      <c r="E27">
        <v>0.67369999999999997</v>
      </c>
      <c r="K27">
        <v>100.9</v>
      </c>
      <c r="L27">
        <v>10.199999999999999</v>
      </c>
      <c r="M27">
        <v>0.69399999999999995</v>
      </c>
      <c r="N27">
        <v>149.1</v>
      </c>
      <c r="O27">
        <v>298.14999999999998</v>
      </c>
      <c r="Q27">
        <v>571.70000000000005</v>
      </c>
      <c r="R27" t="s">
        <v>185</v>
      </c>
      <c r="S27" t="s">
        <v>348</v>
      </c>
    </row>
    <row r="28" spans="1:19" x14ac:dyDescent="0.3">
      <c r="A28" t="s">
        <v>349</v>
      </c>
      <c r="B28" t="s">
        <v>290</v>
      </c>
      <c r="C28" t="s">
        <v>386</v>
      </c>
      <c r="D28">
        <v>808</v>
      </c>
      <c r="E28">
        <v>0.37</v>
      </c>
      <c r="F28">
        <v>5.6</v>
      </c>
      <c r="K28">
        <v>50</v>
      </c>
      <c r="L28">
        <v>7</v>
      </c>
      <c r="M28">
        <v>4</v>
      </c>
      <c r="N28">
        <v>60</v>
      </c>
      <c r="O28">
        <v>298</v>
      </c>
      <c r="Q28">
        <v>46.1</v>
      </c>
      <c r="R28" t="s">
        <v>185</v>
      </c>
      <c r="S28" t="s">
        <v>387</v>
      </c>
    </row>
    <row r="29" spans="1:19" x14ac:dyDescent="0.3">
      <c r="A29" t="s">
        <v>349</v>
      </c>
      <c r="B29" t="s">
        <v>290</v>
      </c>
      <c r="C29" t="s">
        <v>386</v>
      </c>
      <c r="D29">
        <v>749</v>
      </c>
      <c r="E29">
        <v>0.68</v>
      </c>
      <c r="F29">
        <v>4.96</v>
      </c>
      <c r="K29">
        <v>50</v>
      </c>
      <c r="L29">
        <v>7</v>
      </c>
      <c r="M29">
        <v>4</v>
      </c>
      <c r="N29">
        <v>60</v>
      </c>
      <c r="O29">
        <v>298</v>
      </c>
      <c r="Q29">
        <v>57.8</v>
      </c>
      <c r="R29" t="s">
        <v>185</v>
      </c>
      <c r="S29" t="s">
        <v>388</v>
      </c>
    </row>
    <row r="30" spans="1:19" x14ac:dyDescent="0.3">
      <c r="A30" t="s">
        <v>349</v>
      </c>
      <c r="B30" t="s">
        <v>290</v>
      </c>
      <c r="C30" t="s">
        <v>386</v>
      </c>
      <c r="D30">
        <v>731</v>
      </c>
      <c r="E30">
        <v>0.78</v>
      </c>
      <c r="F30">
        <v>5.38</v>
      </c>
      <c r="K30">
        <v>50</v>
      </c>
      <c r="L30">
        <v>7</v>
      </c>
      <c r="M30">
        <v>4</v>
      </c>
      <c r="N30">
        <v>60</v>
      </c>
      <c r="O30">
        <v>298</v>
      </c>
      <c r="Q30">
        <v>58.5</v>
      </c>
      <c r="R30" t="s">
        <v>185</v>
      </c>
      <c r="S30" t="s">
        <v>389</v>
      </c>
    </row>
    <row r="31" spans="1:19" x14ac:dyDescent="0.3">
      <c r="A31" t="s">
        <v>349</v>
      </c>
      <c r="B31" t="s">
        <v>290</v>
      </c>
      <c r="C31" t="s">
        <v>386</v>
      </c>
      <c r="D31">
        <v>724</v>
      </c>
      <c r="E31">
        <v>0.66</v>
      </c>
      <c r="F31">
        <v>5.15</v>
      </c>
      <c r="K31">
        <v>50</v>
      </c>
      <c r="L31">
        <v>7</v>
      </c>
      <c r="M31">
        <v>4</v>
      </c>
      <c r="N31">
        <v>60</v>
      </c>
      <c r="O31">
        <v>298</v>
      </c>
      <c r="Q31">
        <v>53.5</v>
      </c>
      <c r="R31" t="s">
        <v>185</v>
      </c>
      <c r="S31" t="s">
        <v>390</v>
      </c>
    </row>
    <row r="32" spans="1:19" x14ac:dyDescent="0.3">
      <c r="A32" t="s">
        <v>349</v>
      </c>
      <c r="B32" t="s">
        <v>290</v>
      </c>
      <c r="C32" t="s">
        <v>386</v>
      </c>
      <c r="D32">
        <v>808</v>
      </c>
      <c r="E32">
        <v>0.37</v>
      </c>
      <c r="F32">
        <v>5.6</v>
      </c>
      <c r="L32">
        <v>7</v>
      </c>
      <c r="M32">
        <v>4</v>
      </c>
      <c r="O32">
        <v>298</v>
      </c>
      <c r="Q32">
        <v>30.2</v>
      </c>
      <c r="R32" t="s">
        <v>185</v>
      </c>
      <c r="S32" t="s">
        <v>391</v>
      </c>
    </row>
    <row r="33" spans="1:19" x14ac:dyDescent="0.3">
      <c r="A33" t="s">
        <v>349</v>
      </c>
      <c r="B33" t="s">
        <v>290</v>
      </c>
      <c r="C33" t="s">
        <v>386</v>
      </c>
      <c r="D33">
        <v>749</v>
      </c>
      <c r="E33">
        <v>0.68</v>
      </c>
      <c r="F33">
        <v>4.96</v>
      </c>
      <c r="L33">
        <v>7</v>
      </c>
      <c r="M33">
        <v>4</v>
      </c>
      <c r="O33">
        <v>298</v>
      </c>
      <c r="Q33">
        <v>52.6</v>
      </c>
      <c r="R33" t="s">
        <v>185</v>
      </c>
      <c r="S33" t="s">
        <v>392</v>
      </c>
    </row>
    <row r="34" spans="1:19" x14ac:dyDescent="0.3">
      <c r="A34" t="s">
        <v>349</v>
      </c>
      <c r="B34" t="s">
        <v>290</v>
      </c>
      <c r="C34" t="s">
        <v>386</v>
      </c>
      <c r="D34">
        <v>731</v>
      </c>
      <c r="E34">
        <v>0.78</v>
      </c>
      <c r="F34">
        <v>5.38</v>
      </c>
      <c r="L34">
        <v>7</v>
      </c>
      <c r="M34">
        <v>4</v>
      </c>
      <c r="O34">
        <v>298</v>
      </c>
      <c r="Q34">
        <v>31.1</v>
      </c>
      <c r="R34" t="s">
        <v>185</v>
      </c>
      <c r="S34" t="s">
        <v>393</v>
      </c>
    </row>
    <row r="35" spans="1:19" x14ac:dyDescent="0.3">
      <c r="A35" t="s">
        <v>349</v>
      </c>
      <c r="B35" t="s">
        <v>290</v>
      </c>
      <c r="C35" t="s">
        <v>386</v>
      </c>
      <c r="D35">
        <v>724</v>
      </c>
      <c r="E35">
        <v>0.66</v>
      </c>
      <c r="F35">
        <v>5.15</v>
      </c>
      <c r="L35">
        <v>7</v>
      </c>
      <c r="M35">
        <v>4</v>
      </c>
      <c r="O35">
        <v>298</v>
      </c>
      <c r="Q35">
        <v>36.4</v>
      </c>
      <c r="R35" t="s">
        <v>185</v>
      </c>
      <c r="S35" t="s">
        <v>394</v>
      </c>
    </row>
    <row r="36" spans="1:19" x14ac:dyDescent="0.3">
      <c r="A36" t="s">
        <v>355</v>
      </c>
      <c r="B36" t="s">
        <v>290</v>
      </c>
      <c r="C36" t="s">
        <v>335</v>
      </c>
      <c r="D36">
        <v>1530.67</v>
      </c>
      <c r="E36">
        <v>0.78259999999999996</v>
      </c>
      <c r="F36">
        <v>6.3</v>
      </c>
      <c r="M36">
        <v>180</v>
      </c>
      <c r="N36">
        <v>298.14999999999998</v>
      </c>
      <c r="P36">
        <v>324.7</v>
      </c>
      <c r="Q36" t="s">
        <v>185</v>
      </c>
      <c r="R36" t="s">
        <v>395</v>
      </c>
    </row>
    <row r="37" spans="1:19" x14ac:dyDescent="0.3">
      <c r="A37" t="s">
        <v>355</v>
      </c>
      <c r="B37" t="s">
        <v>290</v>
      </c>
      <c r="C37" t="s">
        <v>335</v>
      </c>
      <c r="D37">
        <v>1530.67</v>
      </c>
      <c r="E37">
        <v>0.78259999999999996</v>
      </c>
      <c r="F37">
        <v>6.3</v>
      </c>
      <c r="K37">
        <v>150</v>
      </c>
      <c r="L37">
        <v>7.5</v>
      </c>
      <c r="M37">
        <v>1</v>
      </c>
      <c r="N37">
        <v>180</v>
      </c>
      <c r="O37">
        <v>298.14999999999998</v>
      </c>
      <c r="Q37">
        <v>149.9</v>
      </c>
      <c r="R37" t="s">
        <v>185</v>
      </c>
      <c r="S37" t="s">
        <v>396</v>
      </c>
    </row>
    <row r="38" spans="1:19" x14ac:dyDescent="0.3">
      <c r="A38" t="s">
        <v>355</v>
      </c>
      <c r="B38" t="s">
        <v>290</v>
      </c>
      <c r="C38" t="s">
        <v>335</v>
      </c>
      <c r="D38">
        <v>1530.67</v>
      </c>
      <c r="E38">
        <v>0.78259999999999996</v>
      </c>
      <c r="F38">
        <v>6.3</v>
      </c>
      <c r="K38">
        <v>200</v>
      </c>
      <c r="L38">
        <v>7.5</v>
      </c>
      <c r="M38">
        <v>1</v>
      </c>
      <c r="N38">
        <v>180</v>
      </c>
      <c r="O38">
        <v>298.14999999999998</v>
      </c>
      <c r="Q38">
        <v>199.7</v>
      </c>
      <c r="R38" t="s">
        <v>185</v>
      </c>
      <c r="S38" t="s">
        <v>396</v>
      </c>
    </row>
    <row r="39" spans="1:19" x14ac:dyDescent="0.3">
      <c r="A39" t="s">
        <v>355</v>
      </c>
      <c r="B39" t="s">
        <v>290</v>
      </c>
      <c r="C39" t="s">
        <v>335</v>
      </c>
      <c r="D39">
        <v>1530.67</v>
      </c>
      <c r="E39">
        <v>0.78259999999999996</v>
      </c>
      <c r="F39">
        <v>6.3</v>
      </c>
      <c r="K39">
        <v>250</v>
      </c>
      <c r="L39">
        <v>7.5</v>
      </c>
      <c r="M39">
        <v>1</v>
      </c>
      <c r="N39">
        <v>180</v>
      </c>
      <c r="O39">
        <v>298.14999999999998</v>
      </c>
      <c r="Q39">
        <v>248.8</v>
      </c>
      <c r="R39" t="s">
        <v>185</v>
      </c>
      <c r="S39" t="s">
        <v>396</v>
      </c>
    </row>
    <row r="40" spans="1:19" x14ac:dyDescent="0.3">
      <c r="A40" t="s">
        <v>359</v>
      </c>
      <c r="B40" t="s">
        <v>290</v>
      </c>
      <c r="C40" t="s">
        <v>397</v>
      </c>
      <c r="D40">
        <v>1902.3</v>
      </c>
      <c r="E40">
        <v>0.88</v>
      </c>
      <c r="F40">
        <v>6.58</v>
      </c>
      <c r="G40">
        <v>73.39</v>
      </c>
      <c r="H40">
        <v>4.16</v>
      </c>
      <c r="I40">
        <v>21.75</v>
      </c>
      <c r="J40">
        <v>0.71</v>
      </c>
      <c r="L40">
        <v>7</v>
      </c>
      <c r="M40">
        <v>0.5</v>
      </c>
      <c r="O40">
        <v>303.14999999999998</v>
      </c>
      <c r="Q40">
        <v>838.42</v>
      </c>
      <c r="R40" t="s">
        <v>185</v>
      </c>
      <c r="S40" t="s">
        <v>398</v>
      </c>
    </row>
    <row r="41" spans="1:19" x14ac:dyDescent="0.3">
      <c r="A41" t="s">
        <v>359</v>
      </c>
      <c r="B41" t="s">
        <v>290</v>
      </c>
      <c r="C41" t="s">
        <v>399</v>
      </c>
      <c r="D41">
        <v>1115.9000000000001</v>
      </c>
      <c r="E41">
        <v>0.56000000000000005</v>
      </c>
      <c r="F41">
        <v>6.47</v>
      </c>
      <c r="G41">
        <v>54.79</v>
      </c>
      <c r="H41">
        <v>2.84</v>
      </c>
      <c r="I41">
        <v>41.62</v>
      </c>
      <c r="J41">
        <v>0.76</v>
      </c>
      <c r="L41">
        <v>7</v>
      </c>
      <c r="M41">
        <v>0.5</v>
      </c>
      <c r="O41">
        <v>303.14999999999998</v>
      </c>
      <c r="Q41">
        <v>855.96</v>
      </c>
      <c r="R41" t="s">
        <v>185</v>
      </c>
      <c r="S41" t="s">
        <v>400</v>
      </c>
    </row>
    <row r="42" spans="1:19" x14ac:dyDescent="0.3">
      <c r="A42" t="s">
        <v>359</v>
      </c>
      <c r="B42" t="s">
        <v>290</v>
      </c>
      <c r="C42" t="s">
        <v>401</v>
      </c>
      <c r="D42">
        <v>1412.4</v>
      </c>
      <c r="E42">
        <v>0.66</v>
      </c>
      <c r="F42">
        <v>6.42</v>
      </c>
      <c r="G42">
        <v>69.7</v>
      </c>
      <c r="H42">
        <v>3.09</v>
      </c>
      <c r="I42">
        <v>26.59</v>
      </c>
      <c r="J42">
        <v>0.62</v>
      </c>
      <c r="L42">
        <v>7</v>
      </c>
      <c r="M42">
        <v>0.5</v>
      </c>
      <c r="O42">
        <v>303.14999999999998</v>
      </c>
      <c r="Q42">
        <v>826.28</v>
      </c>
      <c r="R42" t="s">
        <v>185</v>
      </c>
      <c r="S42" t="s">
        <v>402</v>
      </c>
    </row>
    <row r="43" spans="1:19" x14ac:dyDescent="0.3">
      <c r="A43" t="s">
        <v>359</v>
      </c>
      <c r="B43" t="s">
        <v>290</v>
      </c>
      <c r="C43" t="s">
        <v>397</v>
      </c>
      <c r="D43">
        <v>1902.3</v>
      </c>
      <c r="E43">
        <v>0.88</v>
      </c>
      <c r="F43">
        <v>6.58</v>
      </c>
      <c r="G43">
        <v>73.39</v>
      </c>
      <c r="H43">
        <v>4.16</v>
      </c>
      <c r="I43">
        <v>21.75</v>
      </c>
      <c r="J43">
        <v>0.71</v>
      </c>
      <c r="K43">
        <v>300</v>
      </c>
      <c r="L43">
        <v>7</v>
      </c>
      <c r="M43">
        <v>0.5</v>
      </c>
      <c r="N43">
        <v>120</v>
      </c>
      <c r="O43">
        <v>303.14999999999998</v>
      </c>
      <c r="Q43">
        <v>509.47</v>
      </c>
      <c r="R43" t="s">
        <v>185</v>
      </c>
      <c r="S43" t="s">
        <v>403</v>
      </c>
    </row>
    <row r="44" spans="1:19" x14ac:dyDescent="0.3">
      <c r="A44" t="s">
        <v>359</v>
      </c>
      <c r="B44" t="s">
        <v>290</v>
      </c>
      <c r="C44" t="s">
        <v>399</v>
      </c>
      <c r="D44">
        <v>1115.9000000000001</v>
      </c>
      <c r="E44">
        <v>0.56000000000000005</v>
      </c>
      <c r="F44">
        <v>6.47</v>
      </c>
      <c r="G44">
        <v>54.79</v>
      </c>
      <c r="H44">
        <v>2.84</v>
      </c>
      <c r="I44">
        <v>41.62</v>
      </c>
      <c r="J44">
        <v>0.76</v>
      </c>
      <c r="K44">
        <v>300</v>
      </c>
      <c r="L44">
        <v>7</v>
      </c>
      <c r="M44">
        <v>0.5</v>
      </c>
      <c r="N44">
        <v>120</v>
      </c>
      <c r="O44">
        <v>303.14999999999998</v>
      </c>
      <c r="Q44">
        <v>458.9</v>
      </c>
      <c r="R44" t="s">
        <v>185</v>
      </c>
      <c r="S44" t="s">
        <v>404</v>
      </c>
    </row>
    <row r="45" spans="1:19" x14ac:dyDescent="0.3">
      <c r="A45" t="s">
        <v>359</v>
      </c>
      <c r="B45" t="s">
        <v>290</v>
      </c>
      <c r="C45" t="s">
        <v>401</v>
      </c>
      <c r="D45">
        <v>1412.4</v>
      </c>
      <c r="E45">
        <v>0.66</v>
      </c>
      <c r="F45">
        <v>6.42</v>
      </c>
      <c r="G45">
        <v>69.7</v>
      </c>
      <c r="H45">
        <v>3.09</v>
      </c>
      <c r="I45">
        <v>26.59</v>
      </c>
      <c r="J45">
        <v>0.62</v>
      </c>
      <c r="K45">
        <v>300</v>
      </c>
      <c r="L45">
        <v>7</v>
      </c>
      <c r="M45">
        <v>0.5</v>
      </c>
      <c r="N45">
        <v>120</v>
      </c>
      <c r="O45">
        <v>303.14999999999998</v>
      </c>
      <c r="Q45">
        <v>478.36</v>
      </c>
      <c r="R45" t="s">
        <v>185</v>
      </c>
      <c r="S45" t="s">
        <v>405</v>
      </c>
    </row>
    <row r="46" spans="1:19" x14ac:dyDescent="0.3">
      <c r="A46" t="s">
        <v>366</v>
      </c>
      <c r="B46" t="s">
        <v>290</v>
      </c>
      <c r="C46" t="s">
        <v>406</v>
      </c>
      <c r="D46">
        <v>1565</v>
      </c>
      <c r="E46">
        <v>0.67600000000000005</v>
      </c>
      <c r="L46">
        <v>4</v>
      </c>
      <c r="M46">
        <v>180</v>
      </c>
      <c r="N46">
        <v>298.14999999999998</v>
      </c>
      <c r="P46">
        <v>34.299999999999997</v>
      </c>
      <c r="Q46" t="s">
        <v>185</v>
      </c>
      <c r="R46" t="s">
        <v>407</v>
      </c>
    </row>
    <row r="47" spans="1:19" x14ac:dyDescent="0.3">
      <c r="A47" t="s">
        <v>366</v>
      </c>
      <c r="B47" t="s">
        <v>290</v>
      </c>
      <c r="C47" t="s">
        <v>406</v>
      </c>
      <c r="D47">
        <v>1565</v>
      </c>
      <c r="E47">
        <v>0.67600000000000005</v>
      </c>
      <c r="L47">
        <v>4</v>
      </c>
      <c r="N47">
        <v>298.14999999999998</v>
      </c>
      <c r="P47">
        <v>235.21</v>
      </c>
      <c r="Q47" t="s">
        <v>185</v>
      </c>
      <c r="R47" t="s">
        <v>408</v>
      </c>
    </row>
    <row r="48" spans="1:19" x14ac:dyDescent="0.3">
      <c r="A48" t="s">
        <v>366</v>
      </c>
      <c r="B48" t="s">
        <v>290</v>
      </c>
      <c r="C48" t="s">
        <v>406</v>
      </c>
      <c r="D48">
        <v>1565</v>
      </c>
      <c r="E48">
        <v>0.67600000000000005</v>
      </c>
      <c r="L48">
        <v>4</v>
      </c>
      <c r="N48">
        <v>303.14999999999998</v>
      </c>
      <c r="P48">
        <v>209.62</v>
      </c>
      <c r="Q48" t="s">
        <v>185</v>
      </c>
      <c r="R48" t="s">
        <v>408</v>
      </c>
    </row>
    <row r="49" spans="1:20" x14ac:dyDescent="0.3">
      <c r="A49" t="s">
        <v>366</v>
      </c>
      <c r="B49" t="s">
        <v>290</v>
      </c>
      <c r="C49" t="s">
        <v>406</v>
      </c>
      <c r="D49">
        <v>1565</v>
      </c>
      <c r="E49">
        <v>0.67600000000000005</v>
      </c>
      <c r="L49">
        <v>4</v>
      </c>
      <c r="N49">
        <v>313.14999999999998</v>
      </c>
      <c r="P49">
        <v>198.62</v>
      </c>
      <c r="Q49" t="s">
        <v>185</v>
      </c>
      <c r="R49" t="s">
        <v>408</v>
      </c>
    </row>
    <row r="50" spans="1:20" x14ac:dyDescent="0.3">
      <c r="A50" t="s">
        <v>366</v>
      </c>
      <c r="B50" t="s">
        <v>290</v>
      </c>
      <c r="C50" t="s">
        <v>406</v>
      </c>
      <c r="D50">
        <v>1565</v>
      </c>
      <c r="E50">
        <v>0.67600000000000005</v>
      </c>
      <c r="J50">
        <v>100</v>
      </c>
      <c r="L50">
        <v>4</v>
      </c>
      <c r="M50">
        <v>180</v>
      </c>
      <c r="N50">
        <v>298.14999999999998</v>
      </c>
      <c r="P50">
        <v>23.21</v>
      </c>
      <c r="Q50" t="s">
        <v>185</v>
      </c>
      <c r="R50" t="s">
        <v>409</v>
      </c>
    </row>
    <row r="51" spans="1:20" x14ac:dyDescent="0.3">
      <c r="A51" t="s">
        <v>375</v>
      </c>
      <c r="B51" t="s">
        <v>290</v>
      </c>
      <c r="C51" t="s">
        <v>410</v>
      </c>
      <c r="D51">
        <v>282.02</v>
      </c>
      <c r="E51">
        <v>0.24299999999999999</v>
      </c>
      <c r="F51">
        <v>7.5</v>
      </c>
      <c r="L51">
        <v>500</v>
      </c>
      <c r="N51">
        <v>0.3</v>
      </c>
      <c r="O51">
        <v>180</v>
      </c>
      <c r="P51">
        <v>298.14999999999998</v>
      </c>
      <c r="R51">
        <v>384</v>
      </c>
      <c r="S51" t="s">
        <v>185</v>
      </c>
      <c r="T51" t="s">
        <v>411</v>
      </c>
    </row>
    <row r="52" spans="1:20" x14ac:dyDescent="0.3">
      <c r="A52" t="s">
        <v>375</v>
      </c>
      <c r="B52" t="s">
        <v>290</v>
      </c>
      <c r="C52" t="s">
        <v>410</v>
      </c>
      <c r="D52">
        <v>282.02</v>
      </c>
      <c r="E52">
        <v>0.24299999999999999</v>
      </c>
      <c r="F52">
        <v>7.5</v>
      </c>
      <c r="M52">
        <v>0.2</v>
      </c>
      <c r="N52">
        <v>180</v>
      </c>
      <c r="O52">
        <v>298.14999999999998</v>
      </c>
      <c r="Q52">
        <v>469</v>
      </c>
      <c r="R52" t="s">
        <v>412</v>
      </c>
      <c r="S52" t="s">
        <v>413</v>
      </c>
    </row>
    <row r="53" spans="1:20" x14ac:dyDescent="0.3">
      <c r="A53" t="s">
        <v>375</v>
      </c>
      <c r="B53" t="s">
        <v>290</v>
      </c>
      <c r="C53" t="s">
        <v>410</v>
      </c>
      <c r="D53">
        <v>282.02</v>
      </c>
      <c r="E53">
        <v>0.24299999999999999</v>
      </c>
      <c r="F53">
        <v>7.5</v>
      </c>
      <c r="L53">
        <v>500</v>
      </c>
      <c r="N53">
        <v>0.3</v>
      </c>
      <c r="O53">
        <v>180</v>
      </c>
      <c r="P53">
        <v>298.14999999999998</v>
      </c>
      <c r="R53">
        <v>387</v>
      </c>
      <c r="S53" t="s">
        <v>185</v>
      </c>
      <c r="T53" t="s">
        <v>414</v>
      </c>
    </row>
    <row r="54" spans="1:20" x14ac:dyDescent="0.3">
      <c r="A54" t="s">
        <v>375</v>
      </c>
      <c r="B54" t="s">
        <v>290</v>
      </c>
      <c r="C54" t="s">
        <v>410</v>
      </c>
      <c r="D54">
        <v>282.02</v>
      </c>
      <c r="E54">
        <v>0.24299999999999999</v>
      </c>
      <c r="F54">
        <v>7.5</v>
      </c>
      <c r="L54">
        <v>500</v>
      </c>
      <c r="N54">
        <v>0.3</v>
      </c>
      <c r="O54">
        <v>180</v>
      </c>
      <c r="P54">
        <v>308.14999999999998</v>
      </c>
      <c r="R54">
        <v>528</v>
      </c>
      <c r="S54" t="s">
        <v>185</v>
      </c>
      <c r="T54" t="s">
        <v>414</v>
      </c>
    </row>
    <row r="55" spans="1:20" x14ac:dyDescent="0.3">
      <c r="A55" t="s">
        <v>375</v>
      </c>
      <c r="B55" t="s">
        <v>290</v>
      </c>
      <c r="C55" t="s">
        <v>410</v>
      </c>
      <c r="D55">
        <v>282.02</v>
      </c>
      <c r="E55">
        <v>0.24299999999999999</v>
      </c>
      <c r="F55">
        <v>7.5</v>
      </c>
      <c r="L55">
        <v>500</v>
      </c>
      <c r="N55">
        <v>0.3</v>
      </c>
      <c r="O55">
        <v>180</v>
      </c>
      <c r="P55">
        <v>318.14999999999998</v>
      </c>
      <c r="R55">
        <v>835</v>
      </c>
      <c r="S55" t="s">
        <v>185</v>
      </c>
      <c r="T55" t="s">
        <v>414</v>
      </c>
    </row>
    <row r="56" spans="1:20" x14ac:dyDescent="0.3">
      <c r="A56" t="s">
        <v>375</v>
      </c>
      <c r="B56" t="s">
        <v>290</v>
      </c>
      <c r="C56" t="s">
        <v>410</v>
      </c>
      <c r="D56">
        <v>282.02</v>
      </c>
      <c r="E56">
        <v>0.24299999999999999</v>
      </c>
      <c r="F56">
        <v>7.5</v>
      </c>
      <c r="L56">
        <v>500</v>
      </c>
      <c r="N56">
        <v>0.3</v>
      </c>
      <c r="O56">
        <v>180</v>
      </c>
      <c r="P56">
        <v>328.15</v>
      </c>
      <c r="R56">
        <v>1268</v>
      </c>
      <c r="S56" t="s">
        <v>185</v>
      </c>
      <c r="T56" t="s">
        <v>414</v>
      </c>
    </row>
    <row r="57" spans="1:20" x14ac:dyDescent="0.3">
      <c r="A57" t="s">
        <v>375</v>
      </c>
      <c r="B57" t="s">
        <v>290</v>
      </c>
      <c r="C57" t="s">
        <v>410</v>
      </c>
      <c r="D57">
        <v>67.81</v>
      </c>
      <c r="E57">
        <v>0.13600000000000001</v>
      </c>
      <c r="F57">
        <v>7.8</v>
      </c>
      <c r="L57">
        <v>200</v>
      </c>
      <c r="N57">
        <v>0.2</v>
      </c>
      <c r="O57">
        <v>180</v>
      </c>
      <c r="P57">
        <v>298.14999999999998</v>
      </c>
      <c r="R57">
        <v>108</v>
      </c>
      <c r="S57" t="s">
        <v>185</v>
      </c>
      <c r="T57" t="s">
        <v>415</v>
      </c>
    </row>
    <row r="58" spans="1:20" x14ac:dyDescent="0.3">
      <c r="A58" t="s">
        <v>375</v>
      </c>
      <c r="B58" t="s">
        <v>290</v>
      </c>
      <c r="C58" t="s">
        <v>410</v>
      </c>
      <c r="D58">
        <v>67.81</v>
      </c>
      <c r="E58">
        <v>0.13600000000000001</v>
      </c>
      <c r="F58">
        <v>7.8</v>
      </c>
      <c r="M58">
        <v>0.2</v>
      </c>
      <c r="N58">
        <v>180</v>
      </c>
      <c r="O58">
        <v>298.14999999999998</v>
      </c>
      <c r="Q58">
        <v>129</v>
      </c>
      <c r="R58" t="s">
        <v>412</v>
      </c>
      <c r="S58" t="s">
        <v>416</v>
      </c>
    </row>
    <row r="59" spans="1:20" x14ac:dyDescent="0.3">
      <c r="A59" t="s">
        <v>375</v>
      </c>
      <c r="B59" t="s">
        <v>290</v>
      </c>
      <c r="C59" t="s">
        <v>410</v>
      </c>
      <c r="D59">
        <v>67.81</v>
      </c>
      <c r="E59">
        <v>0.13600000000000001</v>
      </c>
      <c r="F59">
        <v>7.8</v>
      </c>
      <c r="L59">
        <v>200</v>
      </c>
      <c r="N59">
        <v>0.2</v>
      </c>
      <c r="O59">
        <v>180</v>
      </c>
      <c r="P59">
        <v>298.14999999999998</v>
      </c>
      <c r="R59">
        <v>108</v>
      </c>
      <c r="S59" t="s">
        <v>185</v>
      </c>
      <c r="T59" t="s">
        <v>417</v>
      </c>
    </row>
    <row r="60" spans="1:20" x14ac:dyDescent="0.3">
      <c r="A60" t="s">
        <v>375</v>
      </c>
      <c r="B60" t="s">
        <v>290</v>
      </c>
      <c r="C60" t="s">
        <v>410</v>
      </c>
      <c r="D60">
        <v>67.81</v>
      </c>
      <c r="E60">
        <v>0.13600000000000001</v>
      </c>
      <c r="F60">
        <v>7.8</v>
      </c>
      <c r="L60">
        <v>200</v>
      </c>
      <c r="N60">
        <v>0.2</v>
      </c>
      <c r="O60">
        <v>180</v>
      </c>
      <c r="P60">
        <v>308.14999999999998</v>
      </c>
      <c r="R60">
        <v>184</v>
      </c>
      <c r="S60" t="s">
        <v>185</v>
      </c>
      <c r="T60" t="s">
        <v>417</v>
      </c>
    </row>
    <row r="61" spans="1:20" x14ac:dyDescent="0.3">
      <c r="A61" t="s">
        <v>375</v>
      </c>
      <c r="B61" t="s">
        <v>290</v>
      </c>
      <c r="C61" t="s">
        <v>410</v>
      </c>
      <c r="D61">
        <v>67.81</v>
      </c>
      <c r="E61">
        <v>0.13600000000000001</v>
      </c>
      <c r="F61">
        <v>7.8</v>
      </c>
      <c r="L61">
        <v>200</v>
      </c>
      <c r="N61">
        <v>0.2</v>
      </c>
      <c r="O61">
        <v>180</v>
      </c>
      <c r="P61">
        <v>318.14999999999998</v>
      </c>
      <c r="R61">
        <v>361</v>
      </c>
      <c r="S61" t="s">
        <v>185</v>
      </c>
      <c r="T61" t="s">
        <v>417</v>
      </c>
    </row>
    <row r="62" spans="1:20" x14ac:dyDescent="0.3">
      <c r="A62" t="s">
        <v>375</v>
      </c>
      <c r="B62" t="s">
        <v>290</v>
      </c>
      <c r="C62" t="s">
        <v>410</v>
      </c>
      <c r="D62">
        <v>67.81</v>
      </c>
      <c r="E62">
        <v>0.13600000000000001</v>
      </c>
      <c r="F62">
        <v>7.8</v>
      </c>
      <c r="L62">
        <v>200</v>
      </c>
      <c r="N62">
        <v>0.2</v>
      </c>
      <c r="O62">
        <v>180</v>
      </c>
      <c r="P62">
        <v>328.15</v>
      </c>
      <c r="R62">
        <v>897</v>
      </c>
      <c r="S62" t="s">
        <v>185</v>
      </c>
      <c r="T62" t="s">
        <v>417</v>
      </c>
    </row>
    <row r="63" spans="1:20" x14ac:dyDescent="0.3">
      <c r="A63" t="s">
        <v>381</v>
      </c>
      <c r="B63" t="s">
        <v>290</v>
      </c>
      <c r="C63" t="s">
        <v>453</v>
      </c>
      <c r="D63">
        <v>117</v>
      </c>
      <c r="E63">
        <v>0.23899999999999999</v>
      </c>
      <c r="F63">
        <v>7.79</v>
      </c>
      <c r="M63">
        <v>0.4</v>
      </c>
      <c r="N63">
        <v>1440</v>
      </c>
      <c r="O63">
        <v>295.14999999999998</v>
      </c>
      <c r="Q63">
        <v>29</v>
      </c>
      <c r="R63" t="s">
        <v>185</v>
      </c>
      <c r="S63" t="s">
        <v>454</v>
      </c>
    </row>
    <row r="64" spans="1:20" x14ac:dyDescent="0.3">
      <c r="A64" t="s">
        <v>381</v>
      </c>
      <c r="B64" t="s">
        <v>290</v>
      </c>
      <c r="C64" t="s">
        <v>455</v>
      </c>
      <c r="D64">
        <v>146</v>
      </c>
      <c r="E64">
        <v>0.187</v>
      </c>
      <c r="F64">
        <v>7.68</v>
      </c>
      <c r="M64">
        <v>0.4</v>
      </c>
      <c r="N64">
        <v>1440</v>
      </c>
      <c r="O64">
        <v>295.14999999999998</v>
      </c>
      <c r="Q64">
        <v>23</v>
      </c>
      <c r="R64" t="s">
        <v>185</v>
      </c>
      <c r="S64" t="s">
        <v>456</v>
      </c>
    </row>
    <row r="65" spans="1:19" x14ac:dyDescent="0.3">
      <c r="A65" t="s">
        <v>381</v>
      </c>
      <c r="B65" t="s">
        <v>290</v>
      </c>
      <c r="C65" t="s">
        <v>453</v>
      </c>
      <c r="D65">
        <v>154</v>
      </c>
      <c r="E65">
        <v>0.24099999999999999</v>
      </c>
      <c r="F65">
        <v>7.33</v>
      </c>
      <c r="M65">
        <v>0.4</v>
      </c>
      <c r="N65">
        <v>1440</v>
      </c>
      <c r="O65">
        <v>295.14999999999998</v>
      </c>
      <c r="Q65">
        <v>32</v>
      </c>
      <c r="R65" t="s">
        <v>185</v>
      </c>
      <c r="S65" t="s">
        <v>457</v>
      </c>
    </row>
    <row r="66" spans="1:19" x14ac:dyDescent="0.3">
      <c r="A66" t="s">
        <v>381</v>
      </c>
      <c r="B66" t="s">
        <v>290</v>
      </c>
      <c r="C66" t="s">
        <v>455</v>
      </c>
      <c r="D66">
        <v>109</v>
      </c>
      <c r="E66">
        <v>0.15</v>
      </c>
      <c r="F66">
        <v>6.98</v>
      </c>
      <c r="M66">
        <v>0.4</v>
      </c>
      <c r="N66">
        <v>1440</v>
      </c>
      <c r="O66">
        <v>295.14999999999998</v>
      </c>
      <c r="Q66">
        <v>19</v>
      </c>
      <c r="R66" t="s">
        <v>185</v>
      </c>
      <c r="S66" t="s">
        <v>458</v>
      </c>
    </row>
    <row r="67" spans="1:19" x14ac:dyDescent="0.3">
      <c r="A67" t="s">
        <v>381</v>
      </c>
      <c r="B67" t="s">
        <v>290</v>
      </c>
      <c r="C67" t="s">
        <v>453</v>
      </c>
      <c r="D67">
        <v>117</v>
      </c>
      <c r="E67">
        <v>0.23899999999999999</v>
      </c>
      <c r="F67">
        <v>7.79</v>
      </c>
      <c r="K67">
        <v>20</v>
      </c>
      <c r="M67">
        <v>0.4</v>
      </c>
      <c r="N67">
        <v>1440</v>
      </c>
      <c r="O67">
        <v>295.14999999999998</v>
      </c>
      <c r="P67">
        <v>10</v>
      </c>
      <c r="Q67">
        <v>25</v>
      </c>
      <c r="R67" t="s">
        <v>185</v>
      </c>
      <c r="S67" t="s">
        <v>459</v>
      </c>
    </row>
    <row r="68" spans="1:19" x14ac:dyDescent="0.3">
      <c r="A68" t="s">
        <v>381</v>
      </c>
      <c r="B68" t="s">
        <v>290</v>
      </c>
      <c r="C68" t="s">
        <v>455</v>
      </c>
      <c r="D68">
        <v>146</v>
      </c>
      <c r="E68">
        <v>0.187</v>
      </c>
      <c r="F68">
        <v>7.68</v>
      </c>
      <c r="K68">
        <v>20</v>
      </c>
      <c r="M68">
        <v>0.4</v>
      </c>
      <c r="N68">
        <v>1440</v>
      </c>
      <c r="O68">
        <v>295.14999999999998</v>
      </c>
      <c r="P68">
        <v>10.8</v>
      </c>
      <c r="Q68">
        <v>23</v>
      </c>
      <c r="R68" t="s">
        <v>185</v>
      </c>
      <c r="S68" t="s">
        <v>460</v>
      </c>
    </row>
    <row r="69" spans="1:19" x14ac:dyDescent="0.3">
      <c r="A69" t="s">
        <v>381</v>
      </c>
      <c r="B69" t="s">
        <v>290</v>
      </c>
      <c r="C69" t="s">
        <v>453</v>
      </c>
      <c r="D69">
        <v>154</v>
      </c>
      <c r="E69">
        <v>0.24099999999999999</v>
      </c>
      <c r="F69">
        <v>7.33</v>
      </c>
      <c r="K69">
        <v>20</v>
      </c>
      <c r="M69">
        <v>0.4</v>
      </c>
      <c r="N69">
        <v>1440</v>
      </c>
      <c r="O69">
        <v>295.14999999999998</v>
      </c>
      <c r="P69">
        <v>7.2</v>
      </c>
      <c r="Q69">
        <v>32</v>
      </c>
      <c r="R69" t="s">
        <v>185</v>
      </c>
      <c r="S69" t="s">
        <v>461</v>
      </c>
    </row>
    <row r="70" spans="1:19" x14ac:dyDescent="0.3">
      <c r="A70" t="s">
        <v>381</v>
      </c>
      <c r="B70" t="s">
        <v>290</v>
      </c>
      <c r="C70" t="s">
        <v>455</v>
      </c>
      <c r="D70">
        <v>109</v>
      </c>
      <c r="E70">
        <v>0.15</v>
      </c>
      <c r="F70">
        <v>6.98</v>
      </c>
      <c r="K70">
        <v>20</v>
      </c>
      <c r="M70">
        <v>0.4</v>
      </c>
      <c r="N70">
        <v>1440</v>
      </c>
      <c r="O70">
        <v>295.14999999999998</v>
      </c>
      <c r="P70">
        <v>13.2</v>
      </c>
      <c r="Q70">
        <v>17</v>
      </c>
      <c r="R70" t="s">
        <v>185</v>
      </c>
      <c r="S70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7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0" customWidth="1"/>
    <col min="3" max="3" width="8" customWidth="1"/>
    <col min="4" max="4" width="45" customWidth="1"/>
    <col min="5" max="5" width="40" customWidth="1"/>
  </cols>
  <sheetData>
    <row r="1" spans="1:5" ht="30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ht="27.75" customHeight="1" x14ac:dyDescent="0.3">
      <c r="A2" s="4" t="s">
        <v>0</v>
      </c>
      <c r="B2" s="4" t="s">
        <v>37</v>
      </c>
      <c r="C2" s="4" t="s">
        <v>38</v>
      </c>
      <c r="D2" s="4" t="s">
        <v>39</v>
      </c>
      <c r="E2" s="4" t="s">
        <v>40</v>
      </c>
    </row>
    <row r="3" spans="1:5" ht="27.75" customHeight="1" x14ac:dyDescent="0.3">
      <c r="A3" s="4" t="s">
        <v>1</v>
      </c>
      <c r="B3" s="4" t="s">
        <v>41</v>
      </c>
      <c r="C3" s="4" t="s">
        <v>38</v>
      </c>
      <c r="D3" s="4" t="s">
        <v>42</v>
      </c>
      <c r="E3" s="4"/>
    </row>
    <row r="4" spans="1:5" ht="27.75" customHeight="1" x14ac:dyDescent="0.3">
      <c r="A4" s="4" t="s">
        <v>2</v>
      </c>
      <c r="B4" s="4" t="s">
        <v>41</v>
      </c>
      <c r="C4" s="4" t="s">
        <v>38</v>
      </c>
      <c r="D4" s="4" t="s">
        <v>43</v>
      </c>
      <c r="E4" s="4"/>
    </row>
    <row r="5" spans="1:5" ht="27.75" customHeight="1" x14ac:dyDescent="0.3">
      <c r="A5" s="4" t="s">
        <v>3</v>
      </c>
      <c r="B5" s="4" t="s">
        <v>41</v>
      </c>
      <c r="C5" s="4" t="s">
        <v>38</v>
      </c>
      <c r="D5" s="4" t="s">
        <v>44</v>
      </c>
      <c r="E5" s="4"/>
    </row>
    <row r="6" spans="1:5" ht="27.75" customHeight="1" x14ac:dyDescent="0.3">
      <c r="A6" s="4" t="s">
        <v>4</v>
      </c>
      <c r="B6" s="4" t="s">
        <v>41</v>
      </c>
      <c r="C6" s="4" t="s">
        <v>38</v>
      </c>
      <c r="D6" s="4" t="s">
        <v>45</v>
      </c>
      <c r="E6" s="4"/>
    </row>
    <row r="7" spans="1:5" ht="27.75" customHeight="1" x14ac:dyDescent="0.3">
      <c r="A7" s="4" t="s">
        <v>5</v>
      </c>
      <c r="B7" s="4" t="s">
        <v>41</v>
      </c>
      <c r="C7" s="4" t="s">
        <v>38</v>
      </c>
      <c r="D7" s="4" t="s">
        <v>46</v>
      </c>
      <c r="E7" s="4"/>
    </row>
    <row r="8" spans="1:5" ht="27.75" customHeight="1" x14ac:dyDescent="0.3">
      <c r="A8" s="4" t="s">
        <v>6</v>
      </c>
      <c r="B8" s="4" t="s">
        <v>41</v>
      </c>
      <c r="C8" s="4" t="s">
        <v>38</v>
      </c>
      <c r="D8" s="4" t="s">
        <v>47</v>
      </c>
      <c r="E8" s="4"/>
    </row>
    <row r="9" spans="1:5" ht="27.75" customHeight="1" x14ac:dyDescent="0.3">
      <c r="A9" s="4" t="s">
        <v>7</v>
      </c>
      <c r="B9" s="4" t="s">
        <v>41</v>
      </c>
      <c r="C9" s="4" t="s">
        <v>38</v>
      </c>
      <c r="D9" s="4" t="s">
        <v>48</v>
      </c>
      <c r="E9" s="4" t="s">
        <v>49</v>
      </c>
    </row>
    <row r="10" spans="1:5" ht="27.75" customHeight="1" x14ac:dyDescent="0.3">
      <c r="A10" s="4" t="s">
        <v>8</v>
      </c>
      <c r="B10" s="4" t="s">
        <v>41</v>
      </c>
      <c r="C10" s="4" t="s">
        <v>38</v>
      </c>
      <c r="D10" s="4" t="s">
        <v>50</v>
      </c>
      <c r="E10" s="4" t="s">
        <v>51</v>
      </c>
    </row>
    <row r="11" spans="1:5" ht="27.75" customHeight="1" x14ac:dyDescent="0.3">
      <c r="A11" s="4" t="s">
        <v>9</v>
      </c>
      <c r="B11" s="4" t="s">
        <v>41</v>
      </c>
      <c r="C11" s="4" t="s">
        <v>38</v>
      </c>
      <c r="D11" s="4" t="s">
        <v>52</v>
      </c>
      <c r="E11" s="4" t="s">
        <v>53</v>
      </c>
    </row>
    <row r="12" spans="1:5" ht="27.75" customHeight="1" x14ac:dyDescent="0.3">
      <c r="A12" s="4" t="s">
        <v>14</v>
      </c>
      <c r="B12" s="4" t="s">
        <v>54</v>
      </c>
      <c r="C12" s="4" t="s">
        <v>38</v>
      </c>
      <c r="D12" s="4" t="s">
        <v>55</v>
      </c>
      <c r="E12" s="4" t="s">
        <v>49</v>
      </c>
    </row>
    <row r="13" spans="1:5" ht="27.75" customHeight="1" x14ac:dyDescent="0.3">
      <c r="A13" s="4" t="s">
        <v>15</v>
      </c>
      <c r="B13" s="4" t="s">
        <v>54</v>
      </c>
      <c r="C13" s="4" t="s">
        <v>38</v>
      </c>
      <c r="D13" s="4" t="s">
        <v>56</v>
      </c>
      <c r="E13" s="4" t="s">
        <v>57</v>
      </c>
    </row>
    <row r="14" spans="1:5" ht="27.75" customHeight="1" x14ac:dyDescent="0.3">
      <c r="A14" s="4" t="s">
        <v>16</v>
      </c>
      <c r="B14" s="4" t="s">
        <v>54</v>
      </c>
      <c r="C14" s="4" t="s">
        <v>58</v>
      </c>
      <c r="D14" s="4" t="s">
        <v>59</v>
      </c>
      <c r="E14" s="4" t="s">
        <v>60</v>
      </c>
    </row>
    <row r="15" spans="1:5" ht="27.75" customHeight="1" x14ac:dyDescent="0.3">
      <c r="A15" s="4" t="s">
        <v>17</v>
      </c>
      <c r="B15" s="4" t="s">
        <v>54</v>
      </c>
      <c r="C15" s="4" t="s">
        <v>61</v>
      </c>
      <c r="D15" s="4" t="s">
        <v>62</v>
      </c>
      <c r="E15" s="4" t="s">
        <v>60</v>
      </c>
    </row>
    <row r="16" spans="1:5" ht="27.75" customHeight="1" x14ac:dyDescent="0.3">
      <c r="A16" s="4" t="s">
        <v>18</v>
      </c>
      <c r="B16" s="4" t="s">
        <v>54</v>
      </c>
      <c r="C16" s="4" t="s">
        <v>38</v>
      </c>
      <c r="D16" s="4" t="s">
        <v>63</v>
      </c>
      <c r="E16" s="4" t="s">
        <v>60</v>
      </c>
    </row>
    <row r="17" spans="1:5" ht="27.75" customHeight="1" x14ac:dyDescent="0.3">
      <c r="A17" s="4" t="s">
        <v>64</v>
      </c>
      <c r="B17" s="4" t="s">
        <v>54</v>
      </c>
      <c r="C17" s="4" t="s">
        <v>65</v>
      </c>
      <c r="D17" s="4" t="s">
        <v>66</v>
      </c>
      <c r="E17" s="4" t="s">
        <v>67</v>
      </c>
    </row>
    <row r="18" spans="1:5" ht="27.75" customHeight="1" x14ac:dyDescent="0.3">
      <c r="A18" s="4" t="s">
        <v>23</v>
      </c>
      <c r="B18" s="4" t="s">
        <v>54</v>
      </c>
      <c r="C18" s="4" t="s">
        <v>68</v>
      </c>
      <c r="D18" s="4" t="s">
        <v>69</v>
      </c>
      <c r="E18" s="4"/>
    </row>
    <row r="19" spans="1:5" ht="27.75" customHeight="1" x14ac:dyDescent="0.3">
      <c r="A19" s="4" t="s">
        <v>24</v>
      </c>
      <c r="B19" s="4" t="s">
        <v>54</v>
      </c>
      <c r="C19" s="4" t="s">
        <v>38</v>
      </c>
      <c r="D19" s="4" t="s">
        <v>70</v>
      </c>
      <c r="E19" s="4"/>
    </row>
    <row r="20" spans="1:5" ht="27.75" customHeight="1" x14ac:dyDescent="0.3">
      <c r="A20" s="4" t="s">
        <v>25</v>
      </c>
      <c r="B20" s="4" t="s">
        <v>54</v>
      </c>
      <c r="C20" s="4" t="s">
        <v>71</v>
      </c>
      <c r="D20" s="4" t="s">
        <v>72</v>
      </c>
      <c r="E20" s="4"/>
    </row>
    <row r="21" spans="1:5" ht="27.75" customHeight="1" x14ac:dyDescent="0.3">
      <c r="A21" s="4" t="s">
        <v>26</v>
      </c>
      <c r="B21" s="4" t="s">
        <v>54</v>
      </c>
      <c r="C21" s="4" t="s">
        <v>73</v>
      </c>
      <c r="D21" s="4" t="s">
        <v>74</v>
      </c>
      <c r="E21" s="4"/>
    </row>
    <row r="22" spans="1:5" ht="27.75" customHeight="1" x14ac:dyDescent="0.3">
      <c r="A22" s="4" t="s">
        <v>27</v>
      </c>
      <c r="B22" s="4" t="s">
        <v>54</v>
      </c>
      <c r="C22" s="4" t="s">
        <v>75</v>
      </c>
      <c r="D22" s="4" t="s">
        <v>76</v>
      </c>
      <c r="E22" s="4" t="s">
        <v>77</v>
      </c>
    </row>
    <row r="23" spans="1:5" ht="27.75" customHeight="1" x14ac:dyDescent="0.3">
      <c r="A23" s="4" t="s">
        <v>28</v>
      </c>
      <c r="B23" s="4" t="s">
        <v>54</v>
      </c>
      <c r="C23" s="4" t="s">
        <v>68</v>
      </c>
      <c r="D23" s="4" t="s">
        <v>78</v>
      </c>
      <c r="E23" s="4" t="s">
        <v>79</v>
      </c>
    </row>
    <row r="24" spans="1:5" ht="27.75" customHeight="1" x14ac:dyDescent="0.3">
      <c r="A24" s="4" t="s">
        <v>29</v>
      </c>
      <c r="B24" s="4" t="s">
        <v>54</v>
      </c>
      <c r="C24" s="4" t="s">
        <v>80</v>
      </c>
      <c r="D24" s="4" t="s">
        <v>81</v>
      </c>
      <c r="E24" s="4"/>
    </row>
    <row r="25" spans="1:5" ht="27.75" customHeight="1" x14ac:dyDescent="0.3">
      <c r="A25" s="4" t="s">
        <v>30</v>
      </c>
      <c r="B25" s="4" t="s">
        <v>54</v>
      </c>
      <c r="C25" s="4" t="s">
        <v>38</v>
      </c>
      <c r="D25" s="4" t="s">
        <v>82</v>
      </c>
      <c r="E25" s="4" t="s">
        <v>83</v>
      </c>
    </row>
    <row r="26" spans="1:5" ht="27.75" customHeight="1" x14ac:dyDescent="0.3">
      <c r="A26" s="4" t="s">
        <v>31</v>
      </c>
      <c r="B26" s="4" t="s">
        <v>54</v>
      </c>
      <c r="C26" s="4" t="s">
        <v>38</v>
      </c>
      <c r="D26" s="4" t="s">
        <v>84</v>
      </c>
      <c r="E26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Papers Master List</vt:lpstr>
      <vt:lpstr>Metal_Data_raw</vt:lpstr>
      <vt:lpstr>Dye_Data_Raw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Agrawal</cp:lastModifiedBy>
  <cp:revision>0</cp:revision>
  <dcterms:created xsi:type="dcterms:W3CDTF">2026-08-30T16:51:48Z</dcterms:created>
  <dcterms:modified xsi:type="dcterms:W3CDTF">2026-09-07T20:19:15Z</dcterms:modified>
  <dc:language>en-US</dc:language>
</cp:coreProperties>
</file>